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1"/>
  <workbookPr codeName="DieseArbeitsmappe" autoCompressPictures="0"/>
  <mc:AlternateContent xmlns:mc="http://schemas.openxmlformats.org/markup-compatibility/2006">
    <mc:Choice Requires="x15">
      <x15ac:absPath xmlns:x15ac="http://schemas.microsoft.com/office/spreadsheetml/2010/11/ac" url="/Users/andreamarinapasteris/Desktop/ISCC-Knowledge/ISCC_Documents/"/>
    </mc:Choice>
  </mc:AlternateContent>
  <xr:revisionPtr revIDLastSave="0" documentId="13_ncr:1_{12953537-1552-0945-A7E2-C4C8241A65F9}" xr6:coauthVersionLast="47" xr6:coauthVersionMax="47" xr10:uidLastSave="{00000000-0000-0000-0000-000000000000}"/>
  <workbookProtection workbookAlgorithmName="SHA-512" workbookHashValue="bv8as+TPKV18sstyra8GfeKCkcO7M/abDRpAAhEuKXF3sXMCRa/x/BOIrdoKPrYoB3UA2Ma3igPp+6XqR0wbnA==" workbookSaltValue="LOvuhR5XJj0IqA5vbUa0YQ==" workbookSpinCount="100000" lockStructure="1"/>
  <bookViews>
    <workbookView xWindow="-28280" yWindow="-14220" windowWidth="24940" windowHeight="26140" tabRatio="767" xr2:uid="{00000000-000D-0000-FFFF-FFFF00000000}"/>
  </bookViews>
  <sheets>
    <sheet name="PoS form" sheetId="4" r:id="rId1"/>
    <sheet name="GHG" sheetId="7" state="hidden" r:id="rId2"/>
    <sheet name="Prod" sheetId="2" state="hidden" r:id="rId3"/>
    <sheet name="RawMat" sheetId="6" state="hidden" r:id="rId4"/>
    <sheet name="Y-N" sheetId="5" state="hidden" r:id="rId5"/>
  </sheets>
  <definedNames>
    <definedName name="_xlnm._FilterDatabase" localSheetId="0" hidden="1">'PoS form'!#REF!</definedName>
    <definedName name="_xlnm._FilterDatabase" localSheetId="2" hidden="1">Prod!$A$1:$D$26</definedName>
    <definedName name="Material">#REF!</definedName>
    <definedName name="_xlnm.Print_Area" localSheetId="0">'PoS form'!$B$1:$AC$160</definedName>
    <definedName name="Prod" localSheetId="2">Prod!$A$2:$A$8</definedName>
    <definedName name="ProdAuswahl" localSheetId="2">Prod!$A$2:$A$8</definedName>
    <definedName name="ProdTyp" localSheetId="2">Prod!$A$2:$A$8</definedName>
    <definedName name="Product">Prod!$A$2:$A$9</definedName>
    <definedName name="Produkt">Prod!$A$2:$A$8</definedName>
    <definedName name="RohMat">#REF!</definedName>
    <definedName name="yesno">'Y-N'!$A$1:$A$2</definedName>
    <definedName name="Z_548E30D7_1B20_2A47_B483_8D6235420B9B_.wvu.Cols" localSheetId="0" hidden="1">'PoS form'!$AE:$AH</definedName>
    <definedName name="Z_548E30D7_1B20_2A47_B483_8D6235420B9B_.wvu.FilterData" localSheetId="0" hidden="1">'PoS form'!#REF!</definedName>
    <definedName name="Z_548E30D7_1B20_2A47_B483_8D6235420B9B_.wvu.PrintArea" localSheetId="0" hidden="1">'PoS form'!$B$1:$W$122</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4"/>
    </ext>
  </extLst>
</workbook>
</file>

<file path=xl/calcChain.xml><?xml version="1.0" encoding="utf-8"?>
<calcChain xmlns="http://schemas.openxmlformats.org/spreadsheetml/2006/main">
  <c r="AF90" i="4" l="1"/>
  <c r="AF120" i="4" l="1"/>
  <c r="D68" i="4"/>
  <c r="AF84" i="4"/>
  <c r="AF106" i="4"/>
  <c r="AF104" i="4"/>
  <c r="AF102" i="4"/>
  <c r="AF100" i="4"/>
  <c r="AF98" i="4"/>
  <c r="AF96" i="4"/>
  <c r="AF112" i="4"/>
  <c r="AI80" i="4" l="1"/>
  <c r="AF110" i="4" l="1"/>
  <c r="AF108" i="4"/>
  <c r="AF94" i="4"/>
  <c r="AF92" i="4"/>
  <c r="AF88" i="4"/>
  <c r="AF86" i="4"/>
  <c r="AH80" i="4"/>
  <c r="AJ80" i="4" s="1"/>
  <c r="AG84" i="4"/>
  <c r="T110" i="4" s="1"/>
  <c r="AG82" i="4"/>
  <c r="V85" i="4"/>
  <c r="AI79" i="4"/>
  <c r="AF114" i="4" l="1"/>
  <c r="AH72" i="4"/>
  <c r="AH79" i="4"/>
  <c r="AJ79" i="4" s="1"/>
  <c r="Y94" i="4" l="1"/>
  <c r="Q94" i="4"/>
  <c r="AG92" i="4"/>
  <c r="AH92" i="4" s="1"/>
  <c r="AH98" i="4" s="1"/>
  <c r="V79" i="4"/>
  <c r="V96" i="4" l="1"/>
  <c r="AG18" i="4"/>
  <c r="D122" i="4" s="1"/>
</calcChain>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<sst xmlns="http://schemas.openxmlformats.org/spreadsheetml/2006/main" count="265" uniqueCount="234">
  <si>
    <t>www.iscc-system.org</t>
  </si>
  <si>
    <t>Name:</t>
  </si>
  <si>
    <t>Address:</t>
  </si>
  <si>
    <t>No</t>
  </si>
  <si>
    <t>Please select</t>
  </si>
  <si>
    <t>Recipient</t>
  </si>
  <si>
    <t>1. General information</t>
  </si>
  <si>
    <t>Supplier</t>
  </si>
  <si>
    <t>Certificate Number:</t>
  </si>
  <si>
    <t>Contract Number:</t>
  </si>
  <si>
    <t>Jatropha</t>
  </si>
  <si>
    <t>Rapeseed / canola</t>
  </si>
  <si>
    <t>Soybean</t>
  </si>
  <si>
    <t>Sunflower</t>
  </si>
  <si>
    <t>Barley</t>
  </si>
  <si>
    <t>Camelina</t>
  </si>
  <si>
    <t>Cotton seed</t>
  </si>
  <si>
    <t>Giant cane</t>
  </si>
  <si>
    <t>Grass</t>
  </si>
  <si>
    <t>Oat</t>
  </si>
  <si>
    <t>Oil palm fresh fruit bunches (FFBs)</t>
  </si>
  <si>
    <t>Rye</t>
  </si>
  <si>
    <t>Shea nuts</t>
  </si>
  <si>
    <t>Short Rotation Coppice</t>
  </si>
  <si>
    <t>Sorghum</t>
  </si>
  <si>
    <t>Sugar beet</t>
  </si>
  <si>
    <t>Sugar cane</t>
  </si>
  <si>
    <t>Triticale</t>
  </si>
  <si>
    <t>Wheat</t>
  </si>
  <si>
    <t>GHG emissions from the extraction or cultivation of raw materials</t>
  </si>
  <si>
    <t>GHG emissions savings from soil carbon accumulation via improved agricultural management</t>
  </si>
  <si>
    <t>GHG emissions savings from carbon capture and geological storage</t>
  </si>
  <si>
    <t>GHG emissions savings from carbon capture and replacement</t>
  </si>
  <si>
    <t>E</t>
  </si>
  <si>
    <t>Nr. = leer</t>
  </si>
  <si>
    <r>
      <t xml:space="preserve">Certification System: </t>
    </r>
    <r>
      <rPr>
        <b/>
        <sz val="9"/>
        <color indexed="8"/>
        <rFont val="Arial"/>
        <family val="2"/>
      </rPr>
      <t>ISCC EU</t>
    </r>
  </si>
  <si>
    <t>Yes</t>
  </si>
  <si>
    <t>Explanations</t>
  </si>
  <si>
    <t>#</t>
  </si>
  <si>
    <t>Feedstock</t>
  </si>
  <si>
    <t>Quantity [MWh]</t>
  </si>
  <si>
    <t>yes</t>
  </si>
  <si>
    <t>no</t>
  </si>
  <si>
    <t>Type of Product</t>
  </si>
  <si>
    <t>beides</t>
  </si>
  <si>
    <t>keines</t>
  </si>
  <si>
    <t>T</t>
  </si>
  <si>
    <t>Total</t>
  </si>
  <si>
    <t>Address of dispatch/shipping point of the sustainable material:</t>
  </si>
  <si>
    <t xml:space="preserve"> </t>
  </si>
  <si>
    <t>Address of receipt/receiving point of the sustainable material:</t>
  </si>
  <si>
    <t>Algae</t>
  </si>
  <si>
    <t>Cotton</t>
  </si>
  <si>
    <t>Mustard / Carinata</t>
  </si>
  <si>
    <t>Olives</t>
  </si>
  <si>
    <t>Tiger nuts / Chuffa</t>
  </si>
  <si>
    <t>Chain of custody option (voluntary)</t>
  </si>
  <si>
    <t>Allocated heat:</t>
  </si>
  <si>
    <t>Allocated electricity:</t>
  </si>
  <si>
    <t xml:space="preserve">Tot. GHG emissions = </t>
  </si>
  <si>
    <t>IS SN sum = 1</t>
  </si>
  <si>
    <t xml:space="preserve">    gCO2eq/MJ</t>
  </si>
  <si>
    <t xml:space="preserve">E = Total GHG emissions from supply and use of the biomass fuel </t>
  </si>
  <si>
    <r>
      <t>Please add 4.6 gCO</t>
    </r>
    <r>
      <rPr>
        <vertAlign val="subscript"/>
        <sz val="9"/>
        <color rgb="FF000000"/>
        <rFont val="Arial"/>
        <family val="2"/>
      </rPr>
      <t>2</t>
    </r>
    <r>
      <rPr>
        <sz val="9"/>
        <color indexed="8"/>
        <rFont val="Arial"/>
        <family val="2"/>
      </rPr>
      <t>eq/MJ to TD value below</t>
    </r>
  </si>
  <si>
    <t xml:space="preserve">In case subsidies / incentives were received please specify </t>
  </si>
  <si>
    <t>Mass balance</t>
  </si>
  <si>
    <t>total emissions from the production of the biogas or biomethane before energy conversion</t>
  </si>
  <si>
    <r>
      <t>e</t>
    </r>
    <r>
      <rPr>
        <vertAlign val="subscript"/>
        <sz val="9"/>
        <color rgb="FF000000"/>
        <rFont val="Arial"/>
        <family val="2"/>
      </rPr>
      <t>ec</t>
    </r>
  </si>
  <si>
    <r>
      <t>e</t>
    </r>
    <r>
      <rPr>
        <vertAlign val="subscript"/>
        <sz val="9"/>
        <color rgb="FF000000"/>
        <rFont val="Arial"/>
        <family val="2"/>
      </rPr>
      <t>l</t>
    </r>
  </si>
  <si>
    <r>
      <t>S</t>
    </r>
    <r>
      <rPr>
        <vertAlign val="subscript"/>
        <sz val="9"/>
        <color rgb="FF000000"/>
        <rFont val="Arial"/>
        <family val="2"/>
      </rPr>
      <t>n</t>
    </r>
  </si>
  <si>
    <t xml:space="preserve">emissions from transport of feedstock n to the digester; </t>
  </si>
  <si>
    <r>
      <t>e</t>
    </r>
    <r>
      <rPr>
        <vertAlign val="subscript"/>
        <sz val="9"/>
        <color rgb="FF000000"/>
        <rFont val="Arial"/>
        <family val="2"/>
      </rPr>
      <t>sca</t>
    </r>
  </si>
  <si>
    <r>
      <t>e</t>
    </r>
    <r>
      <rPr>
        <vertAlign val="subscript"/>
        <sz val="11"/>
        <rFont val="Arial"/>
        <family val="2"/>
      </rPr>
      <t>ec</t>
    </r>
  </si>
  <si>
    <r>
      <t>e</t>
    </r>
    <r>
      <rPr>
        <vertAlign val="subscript"/>
        <sz val="11"/>
        <rFont val="Arial"/>
        <family val="2"/>
      </rPr>
      <t>l</t>
    </r>
  </si>
  <si>
    <r>
      <rPr>
        <sz val="11"/>
        <rFont val="Arial"/>
        <family val="2"/>
      </rPr>
      <t>e</t>
    </r>
    <r>
      <rPr>
        <vertAlign val="subscript"/>
        <sz val="11"/>
        <rFont val="Arial"/>
        <family val="2"/>
      </rPr>
      <t>td, feedst.</t>
    </r>
  </si>
  <si>
    <r>
      <rPr>
        <sz val="11"/>
        <rFont val="Arial"/>
        <family val="2"/>
      </rPr>
      <t>e</t>
    </r>
    <r>
      <rPr>
        <vertAlign val="subscript"/>
        <sz val="11"/>
        <rFont val="Arial"/>
        <family val="2"/>
      </rPr>
      <t>sca</t>
    </r>
  </si>
  <si>
    <r>
      <t>S</t>
    </r>
    <r>
      <rPr>
        <vertAlign val="subscript"/>
        <sz val="9"/>
        <rFont val="Arial"/>
        <family val="2"/>
      </rPr>
      <t>n</t>
    </r>
  </si>
  <si>
    <r>
      <t>e</t>
    </r>
    <r>
      <rPr>
        <vertAlign val="subscript"/>
        <sz val="11"/>
        <rFont val="Arial"/>
        <family val="2"/>
      </rPr>
      <t>ccs</t>
    </r>
  </si>
  <si>
    <r>
      <t>e</t>
    </r>
    <r>
      <rPr>
        <vertAlign val="subscript"/>
        <sz val="11"/>
        <rFont val="Arial"/>
        <family val="2"/>
      </rPr>
      <t>ccr</t>
    </r>
  </si>
  <si>
    <r>
      <t>e</t>
    </r>
    <r>
      <rPr>
        <vertAlign val="subscript"/>
        <sz val="11"/>
        <rFont val="Arial"/>
        <family val="2"/>
      </rPr>
      <t>p</t>
    </r>
  </si>
  <si>
    <r>
      <t>e</t>
    </r>
    <r>
      <rPr>
        <vertAlign val="subscript"/>
        <sz val="11"/>
        <rFont val="Arial"/>
        <family val="2"/>
      </rPr>
      <t>td,prod.</t>
    </r>
  </si>
  <si>
    <r>
      <t>emissions from the fuel in use, that is greenhouse gases emitted during combustion</t>
    </r>
    <r>
      <rPr>
        <vertAlign val="superscript"/>
        <sz val="9"/>
        <color rgb="FF000000"/>
        <rFont val="Arial"/>
        <family val="2"/>
      </rPr>
      <t>8</t>
    </r>
  </si>
  <si>
    <t xml:space="preserve">  -</t>
  </si>
  <si>
    <r>
      <t>e</t>
    </r>
    <r>
      <rPr>
        <vertAlign val="subscript"/>
        <sz val="9"/>
        <color rgb="FF000000"/>
        <rFont val="Arial"/>
        <family val="2"/>
      </rPr>
      <t>td,feedstock,n</t>
    </r>
    <r>
      <rPr>
        <sz val="9"/>
        <color indexed="8"/>
        <rFont val="Arial"/>
        <family val="2"/>
      </rPr>
      <t xml:space="preserve">  -</t>
    </r>
  </si>
  <si>
    <t>annualized (over 20 years) GHG emissions from carbon stock change due to land use change</t>
  </si>
  <si>
    <t>share of feedstock n, in fraction of input to the digester;</t>
  </si>
  <si>
    <r>
      <t>e</t>
    </r>
    <r>
      <rPr>
        <vertAlign val="subscript"/>
        <sz val="9"/>
        <color rgb="FF000000"/>
        <rFont val="Arial"/>
        <family val="2"/>
      </rPr>
      <t>td,product</t>
    </r>
  </si>
  <si>
    <r>
      <t>e</t>
    </r>
    <r>
      <rPr>
        <vertAlign val="subscript"/>
        <sz val="9"/>
        <color rgb="FF000000"/>
        <rFont val="Arial"/>
        <family val="2"/>
      </rPr>
      <t>p</t>
    </r>
  </si>
  <si>
    <t>emissions from transport and distribution of biogas and/or biomethane</t>
  </si>
  <si>
    <t>emissions from processing</t>
  </si>
  <si>
    <r>
      <t>e</t>
    </r>
    <r>
      <rPr>
        <vertAlign val="subscript"/>
        <sz val="9"/>
        <color rgb="FF000000"/>
        <rFont val="Arial"/>
        <family val="2"/>
      </rPr>
      <t>u</t>
    </r>
  </si>
  <si>
    <r>
      <t>e</t>
    </r>
    <r>
      <rPr>
        <vertAlign val="subscript"/>
        <sz val="9"/>
        <color rgb="FF000000"/>
        <rFont val="Arial"/>
        <family val="2"/>
      </rPr>
      <t>ccs</t>
    </r>
  </si>
  <si>
    <r>
      <t>e</t>
    </r>
    <r>
      <rPr>
        <vertAlign val="subscript"/>
        <sz val="9"/>
        <color rgb="FF000000"/>
        <rFont val="Arial"/>
        <family val="2"/>
      </rPr>
      <t>ccr</t>
    </r>
  </si>
  <si>
    <t xml:space="preserve">gCO2eq/MJ electricity			</t>
  </si>
  <si>
    <t xml:space="preserve">gCO2eq/MJ heat			</t>
  </si>
  <si>
    <t>2. Greenhouse Gas (GHG) information</t>
  </si>
  <si>
    <t>GHG Method</t>
  </si>
  <si>
    <t>Biogas</t>
  </si>
  <si>
    <t>Biomethane</t>
  </si>
  <si>
    <t>Castor seed</t>
  </si>
  <si>
    <t>Croton seed</t>
  </si>
  <si>
    <t>Out of shelf-life disinfectant *</t>
  </si>
  <si>
    <t>Safflower</t>
  </si>
  <si>
    <t>Eec</t>
  </si>
  <si>
    <t>Actual</t>
  </si>
  <si>
    <t>DDV</t>
  </si>
  <si>
    <t>NUTSII</t>
  </si>
  <si>
    <t>Etd</t>
  </si>
  <si>
    <t>Country of Origin</t>
  </si>
  <si>
    <t xml:space="preserve">Eec GHG Method </t>
  </si>
  <si>
    <t xml:space="preserve">Dispatch date of the sustainable material: </t>
  </si>
  <si>
    <r>
      <t>S</t>
    </r>
    <r>
      <rPr>
        <b/>
        <vertAlign val="subscript"/>
        <sz val="9"/>
        <color rgb="FF000000"/>
        <rFont val="Arial"/>
        <family val="2"/>
      </rPr>
      <t>n</t>
    </r>
    <r>
      <rPr>
        <b/>
        <sz val="9"/>
        <color indexed="8"/>
        <rFont val="Arial"/>
        <family val="2"/>
      </rPr>
      <t xml:space="preserve"> must add to 1</t>
    </r>
  </si>
  <si>
    <t xml:space="preserve"> Same as address of supplier</t>
  </si>
  <si>
    <t xml:space="preserve"> Same as address of recipient</t>
  </si>
  <si>
    <t>Animal by-products (category 1)</t>
  </si>
  <si>
    <t>Animal by-products (category 2)</t>
  </si>
  <si>
    <t>Animal by-products (category 3)</t>
  </si>
  <si>
    <t>Animal by-products (uncategorized)</t>
  </si>
  <si>
    <t xml:space="preserve">Animal fats from rendering (category 1) </t>
  </si>
  <si>
    <t>Animal fats from rendering (category 2)</t>
  </si>
  <si>
    <t xml:space="preserve">Animal fats from rendering (category 3) </t>
  </si>
  <si>
    <t xml:space="preserve">Animal fats from rendering (uncategorized) </t>
  </si>
  <si>
    <t>Bagasse</t>
  </si>
  <si>
    <t xml:space="preserve">Black liquor </t>
  </si>
  <si>
    <t xml:space="preserve">Brown grease / grease trap fat </t>
  </si>
  <si>
    <t>Brown liquor / spent sulphite liquor</t>
  </si>
  <si>
    <t xml:space="preserve">Champost </t>
  </si>
  <si>
    <t xml:space="preserve">Corn / Maize </t>
  </si>
  <si>
    <t>Corn / Maize cobs</t>
  </si>
  <si>
    <t xml:space="preserve">Crude glycerine </t>
  </si>
  <si>
    <t xml:space="preserve">Crude tall oil (CTO) </t>
  </si>
  <si>
    <t>Draff</t>
  </si>
  <si>
    <t xml:space="preserve">Empty Palm Fruit Bunches (EFB) oil </t>
  </si>
  <si>
    <t xml:space="preserve">Empty Palm Fruit Bunches (EFB) </t>
  </si>
  <si>
    <t>Ethanol used in the cleaning/extraction of blood plasma</t>
  </si>
  <si>
    <t>Ethanol used in the extraction of ingredients from medicinal plants</t>
  </si>
  <si>
    <t>Feed waste</t>
  </si>
  <si>
    <t xml:space="preserve">Fish Oil Ethyl Ester (FOEE) </t>
  </si>
  <si>
    <t>Flower bulbs</t>
  </si>
  <si>
    <t xml:space="preserve">Food waste </t>
  </si>
  <si>
    <t>Forestry residues</t>
  </si>
  <si>
    <t xml:space="preserve">Forestry processing residues </t>
  </si>
  <si>
    <t>Fruit tree cuttings (from agriculture)</t>
  </si>
  <si>
    <t>Grape marc</t>
  </si>
  <si>
    <t>Grass fiber residues from the production of grass protein</t>
  </si>
  <si>
    <t>Husks</t>
  </si>
  <si>
    <t>Intermediate crop (specification of crop)</t>
  </si>
  <si>
    <t>Linseed / Flaxseed</t>
  </si>
  <si>
    <t xml:space="preserve">Manure </t>
  </si>
  <si>
    <t>Matter Organic Non-Glycerol (MONG)</t>
  </si>
  <si>
    <t>Municipal grass cuttings</t>
  </si>
  <si>
    <t>Nut shells</t>
  </si>
  <si>
    <t xml:space="preserve">Organic municipal solid waste (MSW) </t>
  </si>
  <si>
    <t xml:space="preserve">Palm Fatty Acid Distillate (PFAD) </t>
  </si>
  <si>
    <t>Palm kernel shells (PKS)</t>
  </si>
  <si>
    <t>Palm oil mill effluent (POME) oil</t>
  </si>
  <si>
    <t>Pongamia seed</t>
  </si>
  <si>
    <t xml:space="preserve">Pot ale </t>
  </si>
  <si>
    <t xml:space="preserve">Poultry feather acid oil </t>
  </si>
  <si>
    <t>Pressed palm fiber oil</t>
  </si>
  <si>
    <t>Biogenic fraction of end-of-life tyres</t>
  </si>
  <si>
    <t>Residues from processing of corn/maize</t>
  </si>
  <si>
    <t xml:space="preserve">Residue of FAME end distillation </t>
  </si>
  <si>
    <t xml:space="preserve">Sewage sludge </t>
  </si>
  <si>
    <t>Soapstock acid oil contaminated with sulphur</t>
  </si>
  <si>
    <t xml:space="preserve">Spent bleaching earth </t>
  </si>
  <si>
    <t xml:space="preserve">Starch slurry (low grade) </t>
  </si>
  <si>
    <t>Straw</t>
  </si>
  <si>
    <t>Sugar beet residues</t>
  </si>
  <si>
    <t>Sugar beet betaine residues</t>
  </si>
  <si>
    <t xml:space="preserve">Tall oil pitch </t>
  </si>
  <si>
    <t>Technical corn oil</t>
  </si>
  <si>
    <t>Transesterification residues (TER)</t>
  </si>
  <si>
    <t xml:space="preserve">Unrefined liquid dextrose ultrafiltration retentate </t>
  </si>
  <si>
    <t>Used cooking oil (UCO) entirely of veg. origin</t>
  </si>
  <si>
    <t>Used cooking oil (UCO)</t>
  </si>
  <si>
    <t xml:space="preserve">Waste pressings (from production of vegetable oils) </t>
  </si>
  <si>
    <t>Waste starch slurry</t>
  </si>
  <si>
    <t>Waste starch slurry from distillation of grain mixtures</t>
  </si>
  <si>
    <t xml:space="preserve">Wastewater from ship transport </t>
  </si>
  <si>
    <t>Waste oil from sewage sludge treatment</t>
  </si>
  <si>
    <t xml:space="preserve">Waste wood </t>
  </si>
  <si>
    <t xml:space="preserve">Waste/residues from processing of alcohol </t>
  </si>
  <si>
    <t>Waste/residues from processing of vegetable or animal oil</t>
  </si>
  <si>
    <t xml:space="preserve">Wet corn fiber </t>
  </si>
  <si>
    <t>Whey permeate</t>
  </si>
  <si>
    <t xml:space="preserve">Wine lees </t>
  </si>
  <si>
    <t>Woody biomass fraction of non-recycable industrial and municipal construction and demolition waste</t>
  </si>
  <si>
    <t>Other: specify here individually</t>
  </si>
  <si>
    <t>In the following are checks whether the boxes are checked, and if the checks make sense.</t>
  </si>
  <si>
    <t>Is first checkbox in row checked</t>
  </si>
  <si>
    <t>is second checkbox in row checked</t>
  </si>
  <si>
    <t>are both boxes checked</t>
  </si>
  <si>
    <t>are no boxes checked</t>
  </si>
  <si>
    <t>checks if the DDV is a number larger than zero</t>
  </si>
  <si>
    <t>In AF85 to 113 all individual formulaelements get added and multiplied with sn factor</t>
  </si>
  <si>
    <t>Boxes in this row are filled correctly</t>
  </si>
  <si>
    <t>should compression box be shown</t>
  </si>
  <si>
    <t>checks whether compression box is checked and if ist a number if so takes it here, else its zero</t>
  </si>
  <si>
    <t>Add Compression Emissions (Default: 4.6 gCO2eq/MJ)</t>
  </si>
  <si>
    <t>Total emission including Compression</t>
  </si>
  <si>
    <t>Sum of all individual feedstocks</t>
  </si>
  <si>
    <t>Bio-LNG</t>
  </si>
  <si>
    <t>Country of biofuel production</t>
  </si>
  <si>
    <t>Biomethanol</t>
  </si>
  <si>
    <t>Total default value according to RED III applied</t>
  </si>
  <si>
    <t>V4.0</t>
  </si>
  <si>
    <t>For detailed information on the GHG methology, see ISCC document 205 or the REDIII</t>
  </si>
  <si>
    <t xml:space="preserve">Cashew Nut Shell Liquid (CNSL) </t>
  </si>
  <si>
    <t>Applies under the revised Renewable Energy Directive (EU) 2018/2001 (RED III)</t>
  </si>
  <si>
    <t xml:space="preserve"> Food Security Standard (FSS) - 202-04</t>
  </si>
  <si>
    <t xml:space="preserve"> EU Deforestation Regulation (EUDR) - 202-09</t>
  </si>
  <si>
    <t xml:space="preserve"> Non-GMO for Food and Feed - 205-03</t>
  </si>
  <si>
    <t xml:space="preserve"> Non-GMO for Technical Markets - 205-04</t>
  </si>
  <si>
    <t>Sustainability Declaration for Biogas and Biomethane</t>
  </si>
  <si>
    <t>Unique Number of Sustainability Declaration:</t>
  </si>
  <si>
    <t>Date of Issuance of Sustainability Declaration:</t>
  </si>
  <si>
    <t>3. Voluntary Add-Ons</t>
  </si>
  <si>
    <r>
      <t>fulfills Art. 29 REDIII</t>
    </r>
    <r>
      <rPr>
        <vertAlign val="superscript"/>
        <sz val="9"/>
        <color rgb="FF000000"/>
        <rFont val="Arial"/>
        <family val="2"/>
      </rPr>
      <t>1</t>
    </r>
  </si>
  <si>
    <r>
      <t>waste / residues</t>
    </r>
    <r>
      <rPr>
        <vertAlign val="superscript"/>
        <sz val="9"/>
        <color rgb="FF000000"/>
        <rFont val="Arial"/>
        <family val="2"/>
      </rPr>
      <t>2</t>
    </r>
  </si>
  <si>
    <r>
      <t>low ILUC risk</t>
    </r>
    <r>
      <rPr>
        <vertAlign val="superscript"/>
        <sz val="9"/>
        <color rgb="FF000000"/>
        <rFont val="Arial"/>
        <family val="2"/>
      </rPr>
      <t>3</t>
    </r>
  </si>
  <si>
    <r>
      <t>Intermed. Crop</t>
    </r>
    <r>
      <rPr>
        <vertAlign val="superscript"/>
        <sz val="9"/>
        <color rgb="FF000000"/>
        <rFont val="Arial"/>
        <family val="2"/>
      </rPr>
      <t>4</t>
    </r>
  </si>
  <si>
    <t>1) The material complies with the relevant sustainability criteria according to Art. 29 (2) - (7) RED III. Applicable to biomass from agricultural, aquaculture, fisheries and forestry including residues from agricultural, aquaculture, fisheries and forestry residues.</t>
  </si>
  <si>
    <t>2) The raw material meets the definition of waste or residue according to the RED III. If applicable, please specify waste or animal by-product permit number in a seperate list.</t>
  </si>
  <si>
    <t>3) The agricultural biomass additionally fulfills the measures for low ILUC risk feedstocks (if applicable)</t>
  </si>
  <si>
    <t xml:space="preserve">4) The agricultural biomass was cultivated as intermediate crop (if applicable) </t>
  </si>
  <si>
    <t>5) The claim “EU RED Compliant” means that the entire upstream supply chain, including cultivation or collection of the raw material, is certified under a voluntary scheme that is recognised in the framework of the RED. Sustainable material has to be considered “EU RED Compliant” if the ISCC certified operator receives deliveries from suppliers that are certified under any recognised voluntary certification scheme.  Please see ISCC EU System Document 203 for further information.</t>
  </si>
  <si>
    <r>
      <t>EU RED Compliant material</t>
    </r>
    <r>
      <rPr>
        <vertAlign val="superscript"/>
        <sz val="9"/>
        <color rgb="FF000000"/>
        <rFont val="Arial"/>
        <family val="2"/>
      </rPr>
      <t>5</t>
    </r>
  </si>
  <si>
    <r>
      <t>ISCC Compliant material (volunt.)</t>
    </r>
    <r>
      <rPr>
        <vertAlign val="superscript"/>
        <sz val="9"/>
        <color rgb="FF000000"/>
        <rFont val="Arial"/>
        <family val="2"/>
      </rPr>
      <t>6</t>
    </r>
  </si>
  <si>
    <r>
      <t>Compressed Biomethane used as a transport fuel</t>
    </r>
    <r>
      <rPr>
        <vertAlign val="superscript"/>
        <sz val="9"/>
        <color theme="1"/>
        <rFont val="Arial"/>
        <family val="2"/>
      </rPr>
      <t>7</t>
    </r>
  </si>
  <si>
    <t>6) The claim “ISCC Compliant” means that the entire upstream supply chain, including the cultivation or collection of the raw material is certified according to ISCC, and the material used in the supply chain consists entirely and solely of ISCC material, at least on a quantity bookkeeping basis. The statement “ISCC Compliant” can only be made if the ISCC certified operator has received an equivalent amount of incoming material with the statement “ISCC Compliant” on the Sustainability Declaration. Please see ISCC EU System Document 203 for further information.</t>
  </si>
  <si>
    <t>7) Biomethane producers must add 4.6 gCO2eq/MJ for compression to the REDIII total default value or the actual GHG calculation.</t>
  </si>
  <si>
    <t>8) Emissions of non-CO2 greenhouse gases (N2O and CH4) of the fuel in use must be included in the eu factor for biomass fuels</t>
  </si>
  <si>
    <r>
      <t>e</t>
    </r>
    <r>
      <rPr>
        <vertAlign val="subscript"/>
        <sz val="11"/>
        <rFont val="Arial"/>
        <family val="2"/>
      </rPr>
      <t>u</t>
    </r>
    <r>
      <rPr>
        <vertAlign val="superscript"/>
        <sz val="9"/>
        <rFont val="Arial"/>
        <family val="2"/>
      </rPr>
      <t>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</si>
</sst>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0.0%"/>
    <numFmt numFmtId="166" formatCode="0.0"/>
  </numFmts>
  <fonts count="48" x14ac:knownFonts="1">
    <font>
      <sz val="11"/>
      <color theme="1"/>
      <name val="Calibri"/>
      <family val="2"/>
      <scheme val="minor"/>
    </font>
    <font>
      <sz val="11"/>
      <color indexed="8"/>
      <name val="Arial"/>
      <family val="2"/>
    </font>
    <font>
      <b/>
      <sz val="11"/>
      <color indexed="8"/>
      <name val="Arial"/>
      <family val="2"/>
    </font>
    <font>
      <sz val="11"/>
      <color indexed="8"/>
      <name val="Arial"/>
      <family val="2"/>
    </font>
    <font>
      <b/>
      <sz val="12"/>
      <color indexed="8"/>
      <name val="Arial"/>
      <family val="2"/>
    </font>
    <font>
      <sz val="10"/>
      <color indexed="8"/>
      <name val="Arial"/>
      <family val="2"/>
    </font>
    <font>
      <sz val="9"/>
      <color indexed="8"/>
      <name val="Arial"/>
      <family val="2"/>
    </font>
    <font>
      <u/>
      <sz val="10"/>
      <color indexed="12"/>
      <name val="Arial"/>
      <family val="2"/>
    </font>
    <font>
      <u/>
      <sz val="11"/>
      <color indexed="12"/>
      <name val="Calibri"/>
      <family val="2"/>
    </font>
    <font>
      <sz val="8"/>
      <name val="Verdana"/>
      <family val="2"/>
    </font>
    <font>
      <b/>
      <sz val="12"/>
      <color indexed="9"/>
      <name val="Arial"/>
      <family val="2"/>
    </font>
    <font>
      <b/>
      <sz val="16"/>
      <color indexed="9"/>
      <name val="Arial"/>
      <family val="2"/>
    </font>
    <font>
      <sz val="11"/>
      <color indexed="9"/>
      <name val="Arial"/>
      <family val="2"/>
    </font>
    <font>
      <sz val="11"/>
      <color theme="1"/>
      <name val="Calibri"/>
      <family val="2"/>
      <scheme val="minor"/>
    </font>
    <font>
      <sz val="10"/>
      <color theme="1"/>
      <name val="Calibri"/>
      <family val="2"/>
      <scheme val="minor"/>
    </font>
    <font>
      <b/>
      <sz val="10"/>
      <color theme="1"/>
      <name val="Calibri"/>
      <family val="2"/>
      <scheme val="minor"/>
    </font>
    <font>
      <sz val="11"/>
      <color theme="0" tint="-0.34998626667073579"/>
      <name val="Arial"/>
      <family val="2"/>
    </font>
    <font>
      <sz val="8"/>
      <color indexed="8"/>
      <name val="Arial"/>
      <family val="2"/>
    </font>
    <font>
      <sz val="8"/>
      <name val="Calibri"/>
      <family val="2"/>
      <scheme val="minor"/>
    </font>
    <font>
      <sz val="9"/>
      <color rgb="FF99CCFF"/>
      <name val="Arial"/>
      <family val="2"/>
    </font>
    <font>
      <sz val="12"/>
      <color theme="1"/>
      <name val="Arial"/>
      <family val="2"/>
    </font>
    <font>
      <b/>
      <sz val="11"/>
      <color indexed="9"/>
      <name val="Arial"/>
      <family val="2"/>
    </font>
    <font>
      <vertAlign val="subscript"/>
      <sz val="9"/>
      <color indexed="8"/>
      <name val="Arial"/>
      <family val="2"/>
    </font>
    <font>
      <b/>
      <sz val="9"/>
      <color indexed="8"/>
      <name val="Arial"/>
      <family val="2"/>
    </font>
    <font>
      <u/>
      <sz val="9"/>
      <color indexed="12"/>
      <name val="Arial"/>
      <family val="2"/>
    </font>
    <font>
      <sz val="9"/>
      <color theme="1"/>
      <name val="Calibri"/>
      <family val="2"/>
      <scheme val="minor"/>
    </font>
    <font>
      <u/>
      <sz val="10"/>
      <color rgb="FF005FAF"/>
      <name val="Arial"/>
      <family val="2"/>
    </font>
    <font>
      <b/>
      <sz val="12"/>
      <color theme="0" tint="-0.249977111117893"/>
      <name val="Arial"/>
      <family val="2"/>
    </font>
    <font>
      <sz val="9"/>
      <color rgb="FF000000"/>
      <name val="Arial"/>
      <family val="2"/>
    </font>
    <font>
      <sz val="10"/>
      <color rgb="FF005FAF"/>
      <name val="Arial"/>
      <family val="2"/>
    </font>
    <font>
      <vertAlign val="superscript"/>
      <sz val="9"/>
      <color rgb="FF000000"/>
      <name val="Arial"/>
      <family val="2"/>
    </font>
    <font>
      <sz val="9"/>
      <color rgb="FFFF0000"/>
      <name val="Arial"/>
      <family val="2"/>
    </font>
    <font>
      <vertAlign val="subscript"/>
      <sz val="9"/>
      <name val="Arial"/>
      <family val="2"/>
    </font>
    <font>
      <sz val="9"/>
      <name val="Arial"/>
      <family val="2"/>
    </font>
    <font>
      <vertAlign val="superscript"/>
      <sz val="9"/>
      <name val="Arial"/>
      <family val="2"/>
    </font>
    <font>
      <sz val="9"/>
      <color theme="1"/>
      <name val="Arial"/>
      <family val="2"/>
    </font>
    <font>
      <vertAlign val="superscript"/>
      <sz val="9"/>
      <color theme="1"/>
      <name val="Arial"/>
      <family val="2"/>
    </font>
    <font>
      <vertAlign val="subscript"/>
      <sz val="9"/>
      <color rgb="FF000000"/>
      <name val="Arial"/>
      <family val="2"/>
    </font>
    <font>
      <sz val="11"/>
      <name val="Arial"/>
      <family val="2"/>
    </font>
    <font>
      <vertAlign val="subscript"/>
      <sz val="11"/>
      <name val="Arial"/>
      <family val="2"/>
    </font>
    <font>
      <sz val="11"/>
      <color rgb="FFFF0000"/>
      <name val="Arial"/>
      <family val="2"/>
    </font>
    <font>
      <b/>
      <vertAlign val="subscript"/>
      <sz val="9"/>
      <color rgb="FF000000"/>
      <name val="Arial"/>
      <family val="2"/>
    </font>
    <font>
      <b/>
      <u/>
      <sz val="12"/>
      <color rgb="FFFF0000"/>
      <name val="Arial"/>
      <family val="2"/>
    </font>
    <font>
      <u/>
      <sz val="11"/>
      <color theme="0" tint="-0.34998626667073579"/>
      <name val="Arial"/>
      <family val="2"/>
    </font>
    <font>
      <b/>
      <u/>
      <sz val="11"/>
      <color rgb="FFFF0000"/>
      <name val="Arial"/>
      <family val="2"/>
    </font>
    <font>
      <sz val="11"/>
      <color theme="1"/>
      <name val="Arial"/>
      <family val="2"/>
    </font>
    <font>
      <sz val="11"/>
      <color rgb="FF000000"/>
      <name val="Calibri"/>
      <family val="2"/>
      <scheme val="minor"/>
    </font>
    <font>
      <sz val="9"/>
      <color theme="0"/>
      <name val="Arial"/>
      <family val="2"/>
    </font>
  </fonts>
  <fills count="6">
    <fill>
      <patternFill patternType="none"/>
    </fill>
    <fill>
      <patternFill patternType="gray125"/>
    </fill>
    <fill>
      <patternFill patternType="solid">
        <fgColor indexed="31"/>
        <bgColor indexed="64"/>
      </patternFill>
    </fill>
    <fill>
      <patternFill patternType="solid">
        <fgColor theme="0"/>
        <bgColor indexed="64"/>
      </patternFill>
    </fill>
    <fill>
      <patternFill patternType="solid">
        <fgColor rgb="FF005FAF"/>
        <bgColor indexed="64"/>
      </patternFill>
    </fill>
    <fill>
      <patternFill patternType="solid">
        <fgColor theme="0"/>
        <bgColor rgb="FF000000"/>
      </patternFill>
    </fill>
  </fills>
  <borders count="34">
    <border>
      <left/>
      <right/>
      <top/>
      <bottom/>
      <diagonal/>
    </border>
    <border>
      <left style="thin">
        <color auto="1"/>
      </left>
      <right style="thin">
        <color auto="1"/>
      </right>
      <top style="thin">
        <color auto="1"/>
      </top>
      <bottom style="thin">
        <color auto="1"/>
      </bottom>
      <diagonal/>
    </border>
    <border>
      <left/>
      <right/>
      <top style="thin">
        <color indexed="62"/>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thin">
        <color indexed="62"/>
      </bottom>
      <diagonal/>
    </border>
    <border>
      <left/>
      <right/>
      <top style="medium">
        <color auto="1"/>
      </top>
      <bottom style="thin">
        <color indexed="62"/>
      </bottom>
      <diagonal/>
    </border>
    <border>
      <left/>
      <right style="medium">
        <color auto="1"/>
      </right>
      <top style="medium">
        <color auto="1"/>
      </top>
      <bottom style="thin">
        <color indexed="62"/>
      </bottom>
      <diagonal/>
    </border>
    <border>
      <left style="medium">
        <color auto="1"/>
      </left>
      <right/>
      <top style="thin">
        <color indexed="62"/>
      </top>
      <bottom/>
      <diagonal/>
    </border>
    <border>
      <left/>
      <right style="medium">
        <color auto="1"/>
      </right>
      <top style="thin">
        <color indexed="62"/>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double">
        <color auto="1"/>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6">
    <xf numFmtId="0" fontId="0" fillId="0" borderId="0"/>
    <xf numFmtId="0" fontId="8" fillId="0" borderId="0" applyNumberFormat="0" applyFill="0" applyBorder="0" applyAlignment="0" applyProtection="0">
      <alignment vertical="top"/>
      <protection locked="0"/>
    </xf>
    <xf numFmtId="0" fontId="14" fillId="0" borderId="0"/>
    <xf numFmtId="0" fontId="13" fillId="0" borderId="0" applyNumberFormat="0" applyFill="0" applyBorder="0" applyAlignment="0" applyProtection="0"/>
    <xf numFmtId="9" fontId="13" fillId="0" borderId="0" applyFont="0" applyFill="0" applyBorder="0" applyAlignment="0" applyProtection="0"/>
    <xf numFmtId="164" fontId="13" fillId="0" borderId="0" applyFont="0" applyFill="0" applyBorder="0" applyAlignment="0" applyProtection="0"/>
  </cellStyleXfs>
  <cellXfs count="271">
    <xf numFmtId="0" fontId="0" fillId="0" borderId="0" xfId="0"/>
    <xf numFmtId="0" fontId="3" fillId="0" borderId="0" xfId="0" applyFont="1" applyAlignment="1">
      <alignment vertical="center"/>
    </xf>
    <xf numFmtId="0" fontId="5" fillId="2" borderId="0" xfId="0" applyFont="1" applyFill="1" applyAlignment="1">
      <alignment vertical="center"/>
    </xf>
    <xf numFmtId="0" fontId="5" fillId="0" borderId="0" xfId="0" applyFont="1" applyAlignment="1">
      <alignment vertical="center"/>
    </xf>
    <xf numFmtId="0" fontId="5" fillId="0" borderId="0" xfId="0" applyFont="1" applyAlignment="1" applyProtection="1">
      <alignment vertical="center"/>
      <protection locked="0"/>
    </xf>
    <xf numFmtId="0" fontId="14" fillId="0" borderId="0" xfId="2"/>
    <xf numFmtId="0" fontId="15" fillId="0" borderId="0" xfId="2" applyFont="1" applyAlignment="1">
      <alignment horizontal="center" vertical="top"/>
    </xf>
    <xf numFmtId="0" fontId="14" fillId="0" borderId="0" xfId="2" applyAlignment="1">
      <alignment vertical="top"/>
    </xf>
    <xf numFmtId="0" fontId="5" fillId="2" borderId="0" xfId="0" applyFont="1" applyFill="1" applyAlignment="1" applyProtection="1">
      <alignment vertical="center"/>
      <protection locked="0"/>
    </xf>
    <xf numFmtId="0" fontId="20" fillId="0" borderId="0" xfId="2" applyFont="1" applyAlignment="1">
      <alignment vertical="top"/>
    </xf>
    <xf numFmtId="0" fontId="20" fillId="0" borderId="0" xfId="2" applyFont="1"/>
    <xf numFmtId="0" fontId="2" fillId="0" borderId="0" xfId="0" applyFont="1" applyAlignment="1" applyProtection="1">
      <alignment vertical="center"/>
      <protection locked="0"/>
    </xf>
    <xf numFmtId="0" fontId="6" fillId="0" borderId="0" xfId="0" applyFont="1" applyAlignment="1">
      <alignment vertical="center"/>
    </xf>
    <xf numFmtId="0" fontId="6" fillId="0" borderId="0" xfId="0" applyFont="1" applyAlignment="1" applyProtection="1">
      <alignment vertical="center"/>
      <protection locked="0"/>
    </xf>
    <xf numFmtId="0" fontId="6" fillId="0" borderId="0" xfId="0" applyFont="1" applyAlignment="1">
      <alignment horizontal="right" vertical="center"/>
    </xf>
    <xf numFmtId="0" fontId="23" fillId="0" borderId="0" xfId="0" applyFont="1" applyAlignment="1" applyProtection="1">
      <alignment vertical="center"/>
      <protection locked="0"/>
    </xf>
    <xf numFmtId="0" fontId="6" fillId="0" borderId="0" xfId="0" applyFont="1" applyAlignment="1" applyProtection="1">
      <alignment vertical="top"/>
      <protection locked="0"/>
    </xf>
    <xf numFmtId="0" fontId="25" fillId="0" borderId="0" xfId="0" applyFont="1"/>
    <xf numFmtId="0" fontId="25" fillId="0" borderId="0" xfId="0" applyFont="1" applyProtection="1">
      <protection locked="0"/>
    </xf>
    <xf numFmtId="0" fontId="6" fillId="0" borderId="0" xfId="0" applyFont="1" applyAlignment="1">
      <alignment horizontal="left" vertical="center"/>
    </xf>
    <xf numFmtId="0" fontId="10" fillId="4" borderId="11" xfId="0" applyFont="1" applyFill="1" applyBorder="1" applyAlignment="1">
      <alignment vertical="center"/>
    </xf>
    <xf numFmtId="0" fontId="11" fillId="4" borderId="12" xfId="0" applyFont="1" applyFill="1" applyBorder="1" applyAlignment="1">
      <alignment vertical="center"/>
    </xf>
    <xf numFmtId="0" fontId="12" fillId="4" borderId="12" xfId="0" applyFont="1" applyFill="1" applyBorder="1" applyAlignment="1">
      <alignment vertical="center"/>
    </xf>
    <xf numFmtId="0" fontId="21" fillId="4" borderId="8" xfId="0" applyFont="1" applyFill="1" applyBorder="1" applyAlignment="1">
      <alignment vertical="center"/>
    </xf>
    <xf numFmtId="0" fontId="21" fillId="4" borderId="9" xfId="0" applyFont="1" applyFill="1" applyBorder="1" applyAlignment="1">
      <alignment vertical="center"/>
    </xf>
    <xf numFmtId="0" fontId="12" fillId="4" borderId="9" xfId="0" applyFont="1" applyFill="1" applyBorder="1" applyAlignment="1">
      <alignment vertical="center"/>
    </xf>
    <xf numFmtId="0" fontId="12" fillId="4" borderId="10" xfId="0" applyFont="1" applyFill="1" applyBorder="1" applyAlignment="1">
      <alignment vertical="center"/>
    </xf>
    <xf numFmtId="0" fontId="1" fillId="0" borderId="0" xfId="0" applyFont="1" applyAlignment="1">
      <alignment horizontal="center" vertical="center"/>
    </xf>
    <xf numFmtId="0" fontId="16" fillId="4" borderId="13" xfId="0" applyFont="1" applyFill="1" applyBorder="1" applyAlignment="1">
      <alignment horizontal="right" vertical="center"/>
    </xf>
    <xf numFmtId="0" fontId="1" fillId="0" borderId="0" xfId="0" applyFont="1" applyAlignment="1">
      <alignment vertical="center"/>
    </xf>
    <xf numFmtId="0" fontId="27" fillId="4" borderId="3" xfId="0" applyFont="1" applyFill="1" applyBorder="1" applyAlignment="1">
      <alignment vertical="top"/>
    </xf>
    <xf numFmtId="0" fontId="2" fillId="0" borderId="0" xfId="0" applyFont="1" applyAlignment="1">
      <alignment vertical="center"/>
    </xf>
    <xf numFmtId="0" fontId="23" fillId="0" borderId="0" xfId="0" applyFont="1" applyAlignment="1">
      <alignment vertical="center"/>
    </xf>
    <xf numFmtId="0" fontId="6" fillId="0" borderId="0" xfId="0" applyFont="1" applyAlignment="1" applyProtection="1">
      <alignment horizontal="center" vertical="center"/>
      <protection locked="0"/>
    </xf>
    <xf numFmtId="0" fontId="6" fillId="0" borderId="0" xfId="0" applyFont="1" applyAlignment="1">
      <alignment horizontal="left" vertical="top"/>
    </xf>
    <xf numFmtId="0" fontId="0" fillId="0" borderId="1" xfId="2" applyFont="1" applyBorder="1" applyAlignment="1">
      <alignment vertical="center" wrapText="1"/>
    </xf>
    <xf numFmtId="0" fontId="11" fillId="4" borderId="0" xfId="0" applyFont="1" applyFill="1" applyAlignment="1">
      <alignment vertical="center"/>
    </xf>
    <xf numFmtId="0" fontId="12" fillId="4" borderId="0" xfId="0" applyFont="1" applyFill="1" applyAlignment="1">
      <alignment vertical="center"/>
    </xf>
    <xf numFmtId="0" fontId="16" fillId="4" borderId="0" xfId="0" applyFont="1" applyFill="1" applyAlignment="1">
      <alignment horizontal="right" vertical="center"/>
    </xf>
    <xf numFmtId="0" fontId="16" fillId="4" borderId="4" xfId="0" applyFont="1" applyFill="1" applyBorder="1" applyAlignment="1">
      <alignment horizontal="right" vertical="center"/>
    </xf>
    <xf numFmtId="0" fontId="21" fillId="4" borderId="3" xfId="0" applyFont="1" applyFill="1" applyBorder="1" applyAlignment="1">
      <alignment vertical="center"/>
    </xf>
    <xf numFmtId="0" fontId="21" fillId="4" borderId="0" xfId="0" applyFont="1" applyFill="1" applyAlignment="1">
      <alignment vertical="center"/>
    </xf>
    <xf numFmtId="0" fontId="21" fillId="4" borderId="4" xfId="0" applyFont="1" applyFill="1" applyBorder="1" applyAlignment="1">
      <alignment vertical="center"/>
    </xf>
    <xf numFmtId="165" fontId="6" fillId="0" borderId="0" xfId="4" applyNumberFormat="1" applyFont="1" applyFill="1" applyBorder="1" applyAlignment="1" applyProtection="1">
      <alignment horizontal="center" vertical="center"/>
    </xf>
    <xf numFmtId="165" fontId="6" fillId="0" borderId="0" xfId="4" applyNumberFormat="1" applyFont="1" applyFill="1" applyBorder="1" applyAlignment="1" applyProtection="1">
      <alignment vertical="center"/>
    </xf>
    <xf numFmtId="0" fontId="6" fillId="0" borderId="0" xfId="0" applyFont="1" applyAlignment="1">
      <alignment horizontal="left" vertical="center" wrapText="1"/>
    </xf>
    <xf numFmtId="0" fontId="40" fillId="4" borderId="12" xfId="0" applyFont="1" applyFill="1" applyBorder="1" applyAlignment="1">
      <alignment vertical="center"/>
    </xf>
    <xf numFmtId="0" fontId="42" fillId="4" borderId="12" xfId="0" applyFont="1" applyFill="1" applyBorder="1" applyAlignment="1">
      <alignment vertical="center"/>
    </xf>
    <xf numFmtId="0" fontId="43" fillId="4" borderId="0" xfId="0" applyFont="1" applyFill="1" applyAlignment="1">
      <alignment horizontal="right" vertical="center"/>
    </xf>
    <xf numFmtId="0" fontId="44" fillId="4" borderId="0" xfId="0" applyFont="1" applyFill="1" applyAlignment="1">
      <alignment horizontal="left" vertical="center"/>
    </xf>
    <xf numFmtId="0" fontId="21" fillId="4" borderId="14" xfId="0" applyFont="1" applyFill="1" applyBorder="1" applyAlignment="1">
      <alignment vertical="center"/>
    </xf>
    <xf numFmtId="0" fontId="10" fillId="4" borderId="15" xfId="0" applyFont="1" applyFill="1" applyBorder="1" applyAlignment="1">
      <alignment vertical="center"/>
    </xf>
    <xf numFmtId="0" fontId="12" fillId="4" borderId="15" xfId="0" applyFont="1" applyFill="1" applyBorder="1" applyAlignment="1">
      <alignment vertical="center"/>
    </xf>
    <xf numFmtId="0" fontId="12" fillId="4" borderId="16" xfId="0" applyFont="1" applyFill="1" applyBorder="1" applyAlignment="1">
      <alignment vertical="center"/>
    </xf>
    <xf numFmtId="0" fontId="21" fillId="4" borderId="5" xfId="0" applyFont="1" applyFill="1" applyBorder="1" applyAlignment="1">
      <alignment vertical="center"/>
    </xf>
    <xf numFmtId="0" fontId="21" fillId="4" borderId="6" xfId="0" applyFont="1" applyFill="1" applyBorder="1" applyAlignment="1">
      <alignment vertical="center"/>
    </xf>
    <xf numFmtId="0" fontId="12" fillId="4" borderId="6" xfId="0" applyFont="1" applyFill="1" applyBorder="1" applyAlignment="1">
      <alignment vertical="center"/>
    </xf>
    <xf numFmtId="0" fontId="12" fillId="4" borderId="7" xfId="0" applyFont="1" applyFill="1" applyBorder="1" applyAlignment="1">
      <alignment vertical="center"/>
    </xf>
    <xf numFmtId="0" fontId="0" fillId="0" borderId="1" xfId="0" applyBorder="1"/>
    <xf numFmtId="0" fontId="45" fillId="0" borderId="1" xfId="0" applyFont="1" applyBorder="1"/>
    <xf numFmtId="0" fontId="46" fillId="0" borderId="1" xfId="0" applyFont="1" applyBorder="1"/>
    <xf numFmtId="0" fontId="31" fillId="0" borderId="0" xfId="0" applyFont="1" applyAlignment="1" applyProtection="1">
      <alignment vertical="center"/>
      <protection locked="0"/>
    </xf>
    <xf numFmtId="0" fontId="31" fillId="0" borderId="0" xfId="0" applyFont="1" applyAlignment="1">
      <alignment vertical="center"/>
    </xf>
    <xf numFmtId="0" fontId="0" fillId="0" borderId="1" xfId="2" applyFont="1" applyBorder="1" applyAlignment="1" applyProtection="1">
      <alignment vertical="center" wrapText="1"/>
      <protection locked="0"/>
    </xf>
    <xf numFmtId="0" fontId="1" fillId="3" borderId="0" xfId="0" applyFont="1" applyFill="1" applyAlignment="1">
      <alignment vertical="center"/>
    </xf>
    <xf numFmtId="0" fontId="1" fillId="3" borderId="4" xfId="0" applyFont="1" applyFill="1" applyBorder="1" applyAlignment="1">
      <alignment vertical="center"/>
    </xf>
    <xf numFmtId="0" fontId="6" fillId="3" borderId="3" xfId="0" applyFont="1" applyFill="1" applyBorder="1" applyAlignment="1">
      <alignment vertical="center" wrapText="1"/>
    </xf>
    <xf numFmtId="0" fontId="6" fillId="3" borderId="0" xfId="0" applyFont="1" applyFill="1" applyAlignment="1">
      <alignment horizontal="left" vertical="center" wrapText="1"/>
    </xf>
    <xf numFmtId="0" fontId="6" fillId="3" borderId="0" xfId="0" applyFont="1" applyFill="1" applyAlignment="1">
      <alignment vertical="center" wrapText="1"/>
    </xf>
    <xf numFmtId="0" fontId="29" fillId="3" borderId="0" xfId="1" applyFont="1" applyFill="1" applyBorder="1" applyAlignment="1" applyProtection="1">
      <alignment vertical="center"/>
    </xf>
    <xf numFmtId="0" fontId="29" fillId="3" borderId="0" xfId="1" applyFont="1" applyFill="1" applyBorder="1" applyAlignment="1" applyProtection="1"/>
    <xf numFmtId="0" fontId="26" fillId="3" borderId="0" xfId="1" applyFont="1" applyFill="1" applyBorder="1" applyAlignment="1" applyProtection="1"/>
    <xf numFmtId="0" fontId="26" fillId="3" borderId="0" xfId="1" applyFont="1" applyFill="1" applyBorder="1" applyAlignment="1" applyProtection="1">
      <alignment horizontal="left"/>
    </xf>
    <xf numFmtId="0" fontId="26" fillId="3" borderId="4" xfId="1" applyFont="1" applyFill="1" applyBorder="1" applyAlignment="1" applyProtection="1">
      <alignment horizontal="left"/>
    </xf>
    <xf numFmtId="0" fontId="26" fillId="3" borderId="0" xfId="1" applyFont="1" applyFill="1" applyBorder="1" applyAlignment="1" applyProtection="1">
      <alignment horizontal="right" vertical="center"/>
    </xf>
    <xf numFmtId="0" fontId="6" fillId="3" borderId="3" xfId="0" applyFont="1" applyFill="1" applyBorder="1" applyAlignment="1">
      <alignment vertical="center"/>
    </xf>
    <xf numFmtId="0" fontId="6" fillId="3" borderId="0" xfId="0" applyFont="1" applyFill="1" applyAlignment="1">
      <alignment vertical="center"/>
    </xf>
    <xf numFmtId="0" fontId="23" fillId="3" borderId="0" xfId="0" applyFont="1" applyFill="1" applyAlignment="1">
      <alignment vertical="center"/>
    </xf>
    <xf numFmtId="0" fontId="24" fillId="3" borderId="0" xfId="1" applyFont="1" applyFill="1" applyBorder="1" applyAlignment="1" applyProtection="1">
      <alignment vertical="center"/>
    </xf>
    <xf numFmtId="0" fontId="24" fillId="3" borderId="4" xfId="1" applyFont="1" applyFill="1" applyBorder="1" applyAlignment="1" applyProtection="1">
      <alignment vertical="center"/>
    </xf>
    <xf numFmtId="0" fontId="6" fillId="3" borderId="0" xfId="0" applyFont="1" applyFill="1" applyAlignment="1" applyProtection="1">
      <alignment vertical="top" wrapText="1"/>
      <protection locked="0"/>
    </xf>
    <xf numFmtId="0" fontId="6" fillId="3" borderId="4" xfId="0" applyFont="1" applyFill="1" applyBorder="1" applyAlignment="1">
      <alignment vertical="center"/>
    </xf>
    <xf numFmtId="0" fontId="6" fillId="3" borderId="0" xfId="0" applyFont="1" applyFill="1" applyAlignment="1">
      <alignment horizontal="left" vertical="center"/>
    </xf>
    <xf numFmtId="0" fontId="6" fillId="3" borderId="0" xfId="0" applyFont="1" applyFill="1" applyAlignment="1">
      <alignment vertical="top" wrapText="1"/>
    </xf>
    <xf numFmtId="0" fontId="1" fillId="3" borderId="3" xfId="0" applyFont="1" applyFill="1" applyBorder="1" applyAlignment="1">
      <alignment vertical="center"/>
    </xf>
    <xf numFmtId="0" fontId="4" fillId="3" borderId="0" xfId="0" applyFont="1" applyFill="1" applyAlignment="1">
      <alignment vertical="center"/>
    </xf>
    <xf numFmtId="0" fontId="5" fillId="3" borderId="0" xfId="0" applyFont="1" applyFill="1" applyAlignment="1">
      <alignment horizontal="left" vertical="top"/>
    </xf>
    <xf numFmtId="0" fontId="28" fillId="3" borderId="0" xfId="0" applyFont="1" applyFill="1" applyAlignment="1">
      <alignment vertical="center"/>
    </xf>
    <xf numFmtId="0" fontId="7" fillId="3" borderId="4" xfId="1" applyFont="1" applyFill="1" applyBorder="1" applyAlignment="1" applyProtection="1">
      <alignment vertical="center"/>
    </xf>
    <xf numFmtId="0" fontId="6" fillId="3" borderId="0" xfId="0" applyFont="1" applyFill="1" applyAlignment="1">
      <alignment horizontal="righ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1" fillId="3" borderId="6" xfId="0" applyFont="1" applyFill="1" applyBorder="1" applyAlignment="1">
      <alignment vertical="center"/>
    </xf>
    <xf numFmtId="0" fontId="1" fillId="3" borderId="7" xfId="0" applyFont="1" applyFill="1" applyBorder="1" applyAlignment="1">
      <alignment vertical="center"/>
    </xf>
    <xf numFmtId="0" fontId="6" fillId="3" borderId="1" xfId="5" applyNumberFormat="1" applyFont="1" applyFill="1" applyBorder="1" applyAlignment="1" applyProtection="1">
      <alignment vertical="center"/>
      <protection locked="0"/>
    </xf>
    <xf numFmtId="0" fontId="6" fillId="3" borderId="1" xfId="0" applyFont="1" applyFill="1" applyBorder="1" applyAlignment="1" applyProtection="1">
      <alignment vertical="center"/>
      <protection locked="0"/>
    </xf>
    <xf numFmtId="0" fontId="1" fillId="3" borderId="17" xfId="0" applyFont="1" applyFill="1" applyBorder="1" applyAlignment="1">
      <alignment horizontal="left" vertical="center"/>
    </xf>
    <xf numFmtId="0" fontId="1" fillId="3" borderId="2" xfId="0" applyFont="1" applyFill="1" applyBorder="1" applyAlignment="1">
      <alignment horizontal="left" vertical="center"/>
    </xf>
    <xf numFmtId="0" fontId="1" fillId="3" borderId="18" xfId="0" applyFont="1" applyFill="1" applyBorder="1" applyAlignment="1">
      <alignment horizontal="left" vertical="center"/>
    </xf>
    <xf numFmtId="0" fontId="6" fillId="3" borderId="0" xfId="0" applyFont="1" applyFill="1" applyAlignment="1">
      <alignment textRotation="90" wrapText="1"/>
    </xf>
    <xf numFmtId="0" fontId="6" fillId="3" borderId="0" xfId="0" applyFont="1" applyFill="1" applyAlignment="1">
      <alignment horizontal="left" vertical="center" textRotation="90" wrapText="1"/>
    </xf>
    <xf numFmtId="0" fontId="6" fillId="3" borderId="4" xfId="0" applyFont="1" applyFill="1" applyBorder="1" applyAlignment="1">
      <alignment wrapText="1"/>
    </xf>
    <xf numFmtId="0" fontId="6" fillId="3" borderId="0" xfId="0" applyFont="1" applyFill="1" applyAlignment="1">
      <alignment horizontal="left" vertical="top"/>
    </xf>
    <xf numFmtId="0" fontId="6" fillId="3" borderId="0" xfId="0" applyFont="1" applyFill="1" applyAlignment="1">
      <alignment horizontal="left"/>
    </xf>
    <xf numFmtId="0" fontId="6" fillId="3" borderId="0" xfId="0" applyFont="1" applyFill="1"/>
    <xf numFmtId="0" fontId="6" fillId="3" borderId="0" xfId="0" applyFont="1" applyFill="1" applyAlignment="1">
      <alignment wrapText="1"/>
    </xf>
    <xf numFmtId="0" fontId="6" fillId="3" borderId="0" xfId="5" applyNumberFormat="1" applyFont="1" applyFill="1" applyBorder="1" applyAlignment="1" applyProtection="1">
      <alignment vertical="center"/>
    </xf>
    <xf numFmtId="0" fontId="6" fillId="3" borderId="0" xfId="0" applyFont="1" applyFill="1" applyAlignment="1">
      <alignment horizontal="center" vertical="center"/>
    </xf>
    <xf numFmtId="0" fontId="6" fillId="3" borderId="1" xfId="0" applyFont="1" applyFill="1" applyBorder="1" applyAlignment="1" applyProtection="1">
      <alignment horizontal="center" vertical="center"/>
      <protection locked="0"/>
    </xf>
    <xf numFmtId="0" fontId="6" fillId="3" borderId="3" xfId="0" applyFont="1" applyFill="1" applyBorder="1" applyAlignment="1">
      <alignment horizontal="left" vertical="center"/>
    </xf>
    <xf numFmtId="0" fontId="6" fillId="3" borderId="1" xfId="0" applyFont="1" applyFill="1" applyBorder="1" applyAlignment="1" applyProtection="1">
      <alignment vertical="top" wrapText="1"/>
      <protection locked="0"/>
    </xf>
    <xf numFmtId="0" fontId="6" fillId="3" borderId="0" xfId="0" applyFont="1" applyFill="1" applyAlignment="1">
      <alignment vertical="top"/>
    </xf>
    <xf numFmtId="0" fontId="19" fillId="3" borderId="0" xfId="0" applyFont="1" applyFill="1" applyAlignment="1">
      <alignment horizontal="left" vertical="top"/>
    </xf>
    <xf numFmtId="0" fontId="19" fillId="3" borderId="0" xfId="0" applyFont="1" applyFill="1" applyAlignment="1">
      <alignment vertical="top"/>
    </xf>
    <xf numFmtId="0" fontId="19" fillId="3" borderId="0" xfId="0" applyFont="1" applyFill="1" applyAlignment="1">
      <alignment vertical="center"/>
    </xf>
    <xf numFmtId="0" fontId="19" fillId="3" borderId="0" xfId="0" applyFont="1" applyFill="1" applyAlignment="1">
      <alignment horizontal="left" vertical="center"/>
    </xf>
    <xf numFmtId="0" fontId="19" fillId="3" borderId="0" xfId="0" applyFont="1" applyFill="1" applyAlignment="1">
      <alignment horizontal="right" vertical="center"/>
    </xf>
    <xf numFmtId="0" fontId="6" fillId="3" borderId="0" xfId="5" applyNumberFormat="1" applyFont="1" applyFill="1" applyBorder="1" applyAlignment="1" applyProtection="1">
      <alignment horizontal="left" vertical="center"/>
    </xf>
    <xf numFmtId="3" fontId="6" fillId="3" borderId="0" xfId="0" applyNumberFormat="1" applyFont="1" applyFill="1" applyAlignment="1">
      <alignment horizontal="left" vertical="center"/>
    </xf>
    <xf numFmtId="0" fontId="28" fillId="3" borderId="0" xfId="0" applyFont="1" applyFill="1"/>
    <xf numFmtId="0" fontId="6" fillId="3" borderId="0" xfId="5" applyNumberFormat="1" applyFont="1" applyFill="1" applyBorder="1" applyAlignment="1" applyProtection="1">
      <alignment horizontal="right" vertical="center"/>
    </xf>
    <xf numFmtId="0" fontId="28" fillId="3" borderId="0" xfId="0" applyFont="1" applyFill="1" applyAlignment="1">
      <alignment wrapText="1"/>
    </xf>
    <xf numFmtId="0" fontId="6" fillId="3" borderId="23" xfId="0" applyFont="1" applyFill="1" applyBorder="1" applyAlignment="1" applyProtection="1">
      <alignment vertical="center"/>
      <protection locked="0"/>
    </xf>
    <xf numFmtId="0" fontId="6" fillId="3" borderId="24" xfId="0" applyFont="1" applyFill="1" applyBorder="1" applyAlignment="1" applyProtection="1">
      <alignment vertical="center"/>
      <protection locked="0"/>
    </xf>
    <xf numFmtId="0" fontId="6" fillId="3" borderId="25" xfId="0" applyFont="1" applyFill="1" applyBorder="1" applyAlignment="1" applyProtection="1">
      <alignment vertical="center"/>
      <protection locked="0"/>
    </xf>
    <xf numFmtId="0" fontId="6" fillId="3" borderId="5" xfId="0" applyFont="1" applyFill="1" applyBorder="1" applyAlignment="1">
      <alignment vertical="center"/>
    </xf>
    <xf numFmtId="0" fontId="6" fillId="3" borderId="6" xfId="0" applyFont="1" applyFill="1" applyBorder="1" applyAlignment="1">
      <alignment vertical="top"/>
    </xf>
    <xf numFmtId="0" fontId="6" fillId="3" borderId="6" xfId="0" applyFont="1" applyFill="1" applyBorder="1" applyAlignment="1">
      <alignment horizontal="left" vertical="center"/>
    </xf>
    <xf numFmtId="0" fontId="6" fillId="3" borderId="6" xfId="0" applyFont="1" applyFill="1" applyBorder="1" applyAlignment="1">
      <alignment horizontal="right" vertical="center"/>
    </xf>
    <xf numFmtId="0" fontId="6" fillId="3" borderId="6" xfId="0" applyFont="1" applyFill="1" applyBorder="1" applyAlignment="1">
      <alignment vertical="center"/>
    </xf>
    <xf numFmtId="3" fontId="6" fillId="3" borderId="6" xfId="0" applyNumberFormat="1" applyFont="1" applyFill="1" applyBorder="1" applyAlignment="1">
      <alignment horizontal="left" vertical="center"/>
    </xf>
    <xf numFmtId="0" fontId="6" fillId="3" borderId="7" xfId="0" applyFont="1" applyFill="1" applyBorder="1" applyAlignment="1">
      <alignment vertical="center"/>
    </xf>
    <xf numFmtId="0" fontId="35" fillId="3" borderId="0" xfId="0" applyFont="1" applyFill="1" applyAlignment="1">
      <alignment horizontal="left"/>
    </xf>
    <xf numFmtId="0" fontId="6" fillId="3" borderId="3" xfId="0" applyFont="1" applyFill="1" applyBorder="1"/>
    <xf numFmtId="0" fontId="33" fillId="3" borderId="0" xfId="0" applyFont="1" applyFill="1" applyAlignment="1">
      <alignment horizontal="right"/>
    </xf>
    <xf numFmtId="0" fontId="38" fillId="3" borderId="0" xfId="0" applyFont="1" applyFill="1" applyAlignment="1">
      <alignment horizontal="center" wrapText="1"/>
    </xf>
    <xf numFmtId="0" fontId="33" fillId="3" borderId="0" xfId="0" applyFont="1" applyFill="1" applyAlignment="1">
      <alignment horizontal="center" wrapText="1"/>
    </xf>
    <xf numFmtId="0" fontId="39" fillId="3" borderId="0" xfId="0" applyFont="1" applyFill="1" applyAlignment="1">
      <alignment horizontal="center"/>
    </xf>
    <xf numFmtId="0" fontId="39" fillId="3" borderId="0" xfId="0" applyFont="1" applyFill="1" applyAlignment="1">
      <alignment horizontal="center" wrapText="1"/>
    </xf>
    <xf numFmtId="0" fontId="33" fillId="3" borderId="0" xfId="0" applyFont="1" applyFill="1" applyAlignment="1">
      <alignment horizontal="left" wrapText="1"/>
    </xf>
    <xf numFmtId="0" fontId="6" fillId="3" borderId="0" xfId="0" applyFont="1" applyFill="1" applyAlignment="1">
      <alignment horizontal="right" wrapText="1"/>
    </xf>
    <xf numFmtId="0" fontId="6" fillId="3" borderId="0" xfId="0" applyFont="1" applyFill="1" applyAlignment="1">
      <alignment horizontal="right"/>
    </xf>
    <xf numFmtId="0" fontId="6" fillId="3" borderId="4" xfId="0" applyFont="1" applyFill="1" applyBorder="1"/>
    <xf numFmtId="2" fontId="6" fillId="3" borderId="1" xfId="0" applyNumberFormat="1" applyFont="1" applyFill="1" applyBorder="1" applyAlignment="1" applyProtection="1">
      <alignment horizontal="center" vertical="center"/>
      <protection locked="0"/>
    </xf>
    <xf numFmtId="2" fontId="6" fillId="3" borderId="0" xfId="0" applyNumberFormat="1" applyFont="1" applyFill="1" applyAlignment="1">
      <alignment horizontal="center" vertical="center" wrapText="1"/>
    </xf>
    <xf numFmtId="166" fontId="6" fillId="3" borderId="1" xfId="0" applyNumberFormat="1" applyFont="1" applyFill="1" applyBorder="1" applyAlignment="1" applyProtection="1">
      <alignment horizontal="center" vertical="center"/>
      <protection locked="0"/>
    </xf>
    <xf numFmtId="0" fontId="6" fillId="3" borderId="22" xfId="0" applyFont="1" applyFill="1" applyBorder="1" applyAlignment="1">
      <alignment vertical="center" wrapText="1"/>
    </xf>
    <xf numFmtId="0" fontId="31" fillId="3" borderId="0" xfId="0" applyFont="1" applyFill="1" applyAlignment="1">
      <alignment horizontal="right"/>
    </xf>
    <xf numFmtId="0" fontId="38" fillId="3" borderId="0" xfId="0" applyFont="1" applyFill="1" applyAlignment="1">
      <alignment horizontal="right" vertical="center"/>
    </xf>
    <xf numFmtId="2" fontId="6" fillId="3" borderId="0" xfId="0" applyNumberFormat="1" applyFont="1" applyFill="1" applyAlignment="1">
      <alignment horizontal="center" vertical="center"/>
    </xf>
    <xf numFmtId="2" fontId="6" fillId="3" borderId="0" xfId="0" applyNumberFormat="1" applyFont="1" applyFill="1" applyAlignment="1">
      <alignment horizontal="center" vertical="top"/>
    </xf>
    <xf numFmtId="166" fontId="6" fillId="3" borderId="0" xfId="0" applyNumberFormat="1" applyFont="1" applyFill="1" applyAlignment="1">
      <alignment horizontal="center" vertical="center"/>
    </xf>
    <xf numFmtId="0" fontId="6" fillId="3" borderId="22" xfId="0" applyFont="1" applyFill="1" applyBorder="1" applyAlignment="1">
      <alignment horizontal="left" vertical="center"/>
    </xf>
    <xf numFmtId="0" fontId="40" fillId="3" borderId="0" xfId="0" applyFont="1" applyFill="1" applyAlignment="1">
      <alignment horizontal="right"/>
    </xf>
    <xf numFmtId="2" fontId="6" fillId="3" borderId="0" xfId="0" applyNumberFormat="1" applyFont="1" applyFill="1" applyAlignment="1">
      <alignment horizontal="right"/>
    </xf>
    <xf numFmtId="2" fontId="6" fillId="3" borderId="1" xfId="5" applyNumberFormat="1" applyFont="1" applyFill="1" applyBorder="1" applyAlignment="1" applyProtection="1">
      <alignment horizontal="center" vertical="center"/>
      <protection locked="0"/>
    </xf>
    <xf numFmtId="0" fontId="38" fillId="3" borderId="0" xfId="0" applyFont="1" applyFill="1" applyAlignment="1">
      <alignment horizontal="right"/>
    </xf>
    <xf numFmtId="2" fontId="6" fillId="3" borderId="1" xfId="0" quotePrefix="1" applyNumberFormat="1" applyFont="1" applyFill="1" applyBorder="1" applyAlignment="1" applyProtection="1">
      <alignment horizontal="center" vertical="center"/>
      <protection locked="0"/>
    </xf>
    <xf numFmtId="0" fontId="38" fillId="3" borderId="0" xfId="0" applyFont="1" applyFill="1" applyAlignment="1">
      <alignment horizontal="right" shrinkToFit="1"/>
    </xf>
    <xf numFmtId="0" fontId="23" fillId="3" borderId="0" xfId="0" applyFont="1" applyFill="1" applyAlignment="1">
      <alignment horizontal="center" wrapText="1"/>
    </xf>
    <xf numFmtId="0" fontId="23" fillId="3" borderId="0" xfId="0" applyFont="1" applyFill="1" applyAlignment="1">
      <alignment horizontal="left" wrapText="1"/>
    </xf>
    <xf numFmtId="0" fontId="6" fillId="3" borderId="0" xfId="0" applyFont="1" applyFill="1" applyAlignment="1">
      <alignment horizontal="left" wrapText="1"/>
    </xf>
    <xf numFmtId="0" fontId="6" fillId="3" borderId="0" xfId="0" applyFont="1" applyFill="1" applyAlignment="1">
      <alignment horizontal="center" vertical="top"/>
    </xf>
    <xf numFmtId="0" fontId="23" fillId="3" borderId="0" xfId="0" applyFont="1" applyFill="1" applyAlignment="1">
      <alignment horizontal="right" wrapText="1"/>
    </xf>
    <xf numFmtId="165" fontId="6" fillId="3" borderId="0" xfId="4" applyNumberFormat="1" applyFont="1" applyFill="1" applyBorder="1" applyAlignment="1" applyProtection="1">
      <alignment vertical="center"/>
    </xf>
    <xf numFmtId="0" fontId="6" fillId="3" borderId="19" xfId="0" applyFont="1" applyFill="1" applyBorder="1" applyAlignment="1">
      <alignment vertical="center"/>
    </xf>
    <xf numFmtId="0" fontId="6" fillId="3" borderId="20" xfId="0" applyFont="1" applyFill="1" applyBorder="1" applyAlignment="1">
      <alignment vertical="center"/>
    </xf>
    <xf numFmtId="0" fontId="17" fillId="3" borderId="20" xfId="0" applyFont="1" applyFill="1" applyBorder="1" applyAlignment="1">
      <alignment horizontal="left" vertical="center" wrapText="1"/>
    </xf>
    <xf numFmtId="0" fontId="6" fillId="3" borderId="21" xfId="0" applyFont="1" applyFill="1" applyBorder="1" applyAlignment="1">
      <alignment vertical="center"/>
    </xf>
    <xf numFmtId="0" fontId="3" fillId="3" borderId="11" xfId="0" applyFont="1" applyFill="1" applyBorder="1" applyAlignment="1">
      <alignment horizontal="left" vertical="center"/>
    </xf>
    <xf numFmtId="0" fontId="6" fillId="3" borderId="12" xfId="0" applyFont="1" applyFill="1" applyBorder="1" applyAlignment="1">
      <alignment horizontal="left" vertical="center"/>
    </xf>
    <xf numFmtId="0" fontId="3" fillId="3" borderId="13" xfId="0" applyFont="1" applyFill="1" applyBorder="1" applyAlignment="1">
      <alignment horizontal="left" vertical="center"/>
    </xf>
    <xf numFmtId="0" fontId="3" fillId="3" borderId="3" xfId="0" applyFont="1" applyFill="1" applyBorder="1" applyAlignment="1">
      <alignment horizontal="left" vertical="center"/>
    </xf>
    <xf numFmtId="0" fontId="3" fillId="3" borderId="0" xfId="0" applyFont="1" applyFill="1" applyAlignment="1">
      <alignment horizontal="left" vertical="center"/>
    </xf>
    <xf numFmtId="0" fontId="3" fillId="3" borderId="4" xfId="0" applyFont="1" applyFill="1" applyBorder="1" applyAlignment="1">
      <alignment horizontal="left" vertical="center"/>
    </xf>
    <xf numFmtId="0" fontId="3" fillId="3" borderId="3" xfId="0" applyFont="1" applyFill="1" applyBorder="1" applyAlignment="1">
      <alignment vertical="center"/>
    </xf>
    <xf numFmtId="0" fontId="6" fillId="3" borderId="4" xfId="0" applyFont="1" applyFill="1" applyBorder="1" applyAlignment="1">
      <alignment horizontal="left" vertical="center"/>
    </xf>
    <xf numFmtId="0" fontId="6" fillId="3" borderId="4" xfId="0" applyFont="1" applyFill="1" applyBorder="1" applyAlignment="1">
      <alignment vertical="top" wrapText="1"/>
    </xf>
    <xf numFmtId="0" fontId="3" fillId="3" borderId="3" xfId="0" applyFont="1" applyFill="1" applyBorder="1" applyAlignment="1">
      <alignment vertical="top"/>
    </xf>
    <xf numFmtId="0" fontId="6" fillId="3" borderId="0" xfId="0" applyFont="1" applyFill="1" applyAlignment="1">
      <alignment horizontal="left" vertical="top" wrapText="1"/>
    </xf>
    <xf numFmtId="0" fontId="6" fillId="3" borderId="4" xfId="0" applyFont="1" applyFill="1" applyBorder="1" applyAlignment="1">
      <alignment horizontal="left" vertical="top" wrapText="1"/>
    </xf>
    <xf numFmtId="0" fontId="22" fillId="3" borderId="0" xfId="0" applyFont="1" applyFill="1" applyAlignment="1">
      <alignment horizontal="left" vertical="center"/>
    </xf>
    <xf numFmtId="0" fontId="28" fillId="3" borderId="0" xfId="0" applyFont="1" applyFill="1" applyAlignment="1">
      <alignment horizontal="left" vertical="center" wrapText="1"/>
    </xf>
    <xf numFmtId="0" fontId="28" fillId="3" borderId="0" xfId="0" applyFont="1" applyFill="1" applyAlignment="1">
      <alignment horizontal="left" vertical="center"/>
    </xf>
    <xf numFmtId="0" fontId="28" fillId="5" borderId="0" xfId="0" applyFont="1" applyFill="1" applyAlignment="1">
      <alignment horizontal="left" vertical="center" wrapText="1"/>
    </xf>
    <xf numFmtId="0" fontId="28" fillId="5" borderId="0" xfId="0" applyFont="1" applyFill="1" applyAlignment="1">
      <alignment vertical="center"/>
    </xf>
    <xf numFmtId="0" fontId="6" fillId="3" borderId="4" xfId="0" applyFont="1" applyFill="1" applyBorder="1" applyAlignment="1">
      <alignment horizontal="left" vertical="center" wrapText="1"/>
    </xf>
    <xf numFmtId="0" fontId="3" fillId="3" borderId="3" xfId="0" applyFont="1" applyFill="1" applyBorder="1"/>
    <xf numFmtId="0" fontId="3" fillId="3" borderId="5" xfId="0" applyFont="1" applyFill="1" applyBorder="1" applyAlignment="1">
      <alignment vertical="center"/>
    </xf>
    <xf numFmtId="0" fontId="6" fillId="3" borderId="6" xfId="0" applyFont="1" applyFill="1" applyBorder="1" applyAlignment="1">
      <alignment horizontal="left" vertical="top"/>
    </xf>
    <xf numFmtId="0" fontId="47" fillId="3" borderId="0" xfId="0" applyFont="1" applyFill="1" applyAlignment="1">
      <alignment horizontal="left" vertical="center"/>
    </xf>
    <xf numFmtId="165" fontId="23" fillId="3" borderId="0" xfId="4" applyNumberFormat="1" applyFont="1" applyFill="1" applyBorder="1" applyAlignment="1" applyProtection="1">
      <alignment horizontal="center" vertical="center"/>
    </xf>
    <xf numFmtId="165" fontId="23" fillId="3" borderId="4" xfId="4" applyNumberFormat="1" applyFont="1" applyFill="1" applyBorder="1" applyAlignment="1" applyProtection="1">
      <alignment horizontal="center" vertical="center"/>
    </xf>
    <xf numFmtId="0" fontId="6"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33" fillId="3" borderId="11" xfId="0" applyFont="1" applyFill="1" applyBorder="1" applyAlignment="1">
      <alignment vertical="center"/>
    </xf>
    <xf numFmtId="0" fontId="6" fillId="3" borderId="12" xfId="0" applyFont="1" applyFill="1" applyBorder="1" applyAlignment="1">
      <alignment horizontal="left" vertical="center" wrapText="1"/>
    </xf>
    <xf numFmtId="0" fontId="33" fillId="3" borderId="3" xfId="0" applyFont="1" applyFill="1" applyBorder="1" applyAlignment="1">
      <alignment vertical="center"/>
    </xf>
    <xf numFmtId="0" fontId="33" fillId="3" borderId="5" xfId="0" applyFont="1" applyFill="1" applyBorder="1" applyAlignment="1">
      <alignment vertical="center"/>
    </xf>
    <xf numFmtId="0" fontId="6" fillId="3" borderId="0" xfId="0" applyFont="1" applyFill="1" applyAlignment="1">
      <alignment horizontal="center" vertical="center"/>
    </xf>
    <xf numFmtId="2" fontId="6" fillId="3" borderId="23" xfId="0" applyNumberFormat="1" applyFont="1" applyFill="1" applyBorder="1" applyAlignment="1" applyProtection="1">
      <alignment horizontal="center" vertical="center"/>
      <protection locked="0"/>
    </xf>
    <xf numFmtId="2" fontId="6" fillId="3" borderId="25" xfId="0" applyNumberFormat="1" applyFont="1" applyFill="1" applyBorder="1" applyAlignment="1" applyProtection="1">
      <alignment horizontal="center" vertical="center"/>
      <protection locked="0"/>
    </xf>
    <xf numFmtId="0" fontId="6"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17" fillId="3" borderId="20"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4" xfId="0" applyFont="1" applyFill="1" applyBorder="1" applyAlignment="1">
      <alignment horizontal="left" vertical="center" wrapText="1"/>
    </xf>
    <xf numFmtId="0" fontId="6" fillId="3" borderId="12" xfId="0" applyFont="1" applyFill="1" applyBorder="1" applyAlignment="1">
      <alignment horizontal="left"/>
    </xf>
    <xf numFmtId="0" fontId="6" fillId="3" borderId="0" xfId="0" applyFont="1" applyFill="1" applyAlignment="1">
      <alignment horizontal="left" vertical="center"/>
    </xf>
    <xf numFmtId="0" fontId="6" fillId="3" borderId="0" xfId="0" applyFont="1" applyFill="1" applyAlignment="1">
      <alignment horizontal="center" textRotation="90" wrapText="1"/>
    </xf>
    <xf numFmtId="0" fontId="6" fillId="3" borderId="0" xfId="0" applyFont="1" applyFill="1" applyAlignment="1">
      <alignment horizontal="center" vertical="center" textRotation="90" wrapText="1"/>
    </xf>
    <xf numFmtId="0" fontId="17" fillId="3" borderId="3" xfId="0" applyFont="1" applyFill="1" applyBorder="1" applyAlignment="1">
      <alignment horizontal="center" vertical="center" wrapText="1"/>
    </xf>
    <xf numFmtId="0" fontId="17" fillId="3" borderId="0" xfId="0" applyFont="1" applyFill="1" applyAlignment="1">
      <alignment horizontal="center" vertical="center" wrapText="1"/>
    </xf>
    <xf numFmtId="0" fontId="6" fillId="3" borderId="26" xfId="0" applyFont="1" applyFill="1" applyBorder="1" applyAlignment="1" applyProtection="1">
      <alignment horizontal="center" vertical="center"/>
      <protection locked="0"/>
    </xf>
    <xf numFmtId="0" fontId="6" fillId="3" borderId="27" xfId="0" applyFont="1" applyFill="1" applyBorder="1" applyAlignment="1" applyProtection="1">
      <alignment horizontal="center" vertical="center"/>
      <protection locked="0"/>
    </xf>
    <xf numFmtId="0" fontId="6" fillId="3" borderId="28" xfId="0" applyFont="1" applyFill="1" applyBorder="1" applyAlignment="1" applyProtection="1">
      <alignment horizontal="center" vertical="center"/>
      <protection locked="0"/>
    </xf>
    <xf numFmtId="0" fontId="6" fillId="3" borderId="32" xfId="0" applyFont="1" applyFill="1" applyBorder="1" applyAlignment="1" applyProtection="1">
      <alignment horizontal="center" vertical="center"/>
      <protection locked="0"/>
    </xf>
    <xf numFmtId="0" fontId="6" fillId="3" borderId="0" xfId="0" applyFont="1" applyFill="1" applyAlignment="1" applyProtection="1">
      <alignment horizontal="center" vertical="center"/>
      <protection locked="0"/>
    </xf>
    <xf numFmtId="0" fontId="6" fillId="3" borderId="33" xfId="0" applyFont="1" applyFill="1" applyBorder="1" applyAlignment="1" applyProtection="1">
      <alignment horizontal="center" vertical="center"/>
      <protection locked="0"/>
    </xf>
    <xf numFmtId="0" fontId="6" fillId="3" borderId="29" xfId="0" applyFont="1" applyFill="1" applyBorder="1" applyAlignment="1" applyProtection="1">
      <alignment horizontal="center" vertical="center"/>
      <protection locked="0"/>
    </xf>
    <xf numFmtId="0" fontId="6" fillId="3" borderId="30" xfId="0" applyFont="1" applyFill="1" applyBorder="1" applyAlignment="1" applyProtection="1">
      <alignment horizontal="center" vertical="center"/>
      <protection locked="0"/>
    </xf>
    <xf numFmtId="0" fontId="6" fillId="3" borderId="31" xfId="0" applyFont="1" applyFill="1" applyBorder="1" applyAlignment="1" applyProtection="1">
      <alignment horizontal="center" vertical="center"/>
      <protection locked="0"/>
    </xf>
    <xf numFmtId="0" fontId="6" fillId="3" borderId="0" xfId="0" applyFont="1" applyFill="1" applyAlignment="1">
      <alignment horizontal="center" wrapText="1"/>
    </xf>
    <xf numFmtId="0" fontId="6" fillId="3" borderId="23" xfId="0" applyFont="1" applyFill="1" applyBorder="1" applyAlignment="1" applyProtection="1">
      <alignment horizontal="center" vertical="center"/>
      <protection locked="0"/>
    </xf>
    <xf numFmtId="0" fontId="6" fillId="3" borderId="24" xfId="0" applyFont="1" applyFill="1" applyBorder="1" applyAlignment="1" applyProtection="1">
      <alignment horizontal="center" vertical="center"/>
      <protection locked="0"/>
    </xf>
    <xf numFmtId="0" fontId="6" fillId="3" borderId="25" xfId="0" applyFont="1" applyFill="1" applyBorder="1" applyAlignment="1" applyProtection="1">
      <alignment horizontal="center" vertical="center"/>
      <protection locked="0"/>
    </xf>
    <xf numFmtId="0" fontId="6" fillId="3" borderId="26" xfId="0" applyFont="1" applyFill="1" applyBorder="1" applyAlignment="1" applyProtection="1">
      <alignment horizontal="center" vertical="top" wrapText="1"/>
      <protection locked="0"/>
    </xf>
    <xf numFmtId="0" fontId="6" fillId="3" borderId="27" xfId="0" applyFont="1" applyFill="1" applyBorder="1" applyAlignment="1" applyProtection="1">
      <alignment horizontal="center" vertical="top" wrapText="1"/>
      <protection locked="0"/>
    </xf>
    <xf numFmtId="0" fontId="6" fillId="3" borderId="28" xfId="0" applyFont="1" applyFill="1" applyBorder="1" applyAlignment="1" applyProtection="1">
      <alignment horizontal="center" vertical="top" wrapText="1"/>
      <protection locked="0"/>
    </xf>
    <xf numFmtId="0" fontId="6" fillId="3" borderId="32" xfId="0" applyFont="1" applyFill="1" applyBorder="1" applyAlignment="1" applyProtection="1">
      <alignment horizontal="center" vertical="top" wrapText="1"/>
      <protection locked="0"/>
    </xf>
    <xf numFmtId="0" fontId="6" fillId="3" borderId="0" xfId="0" applyFont="1" applyFill="1" applyAlignment="1" applyProtection="1">
      <alignment horizontal="center" vertical="top" wrapText="1"/>
      <protection locked="0"/>
    </xf>
    <xf numFmtId="0" fontId="6" fillId="3" borderId="33" xfId="0" applyFont="1" applyFill="1" applyBorder="1" applyAlignment="1" applyProtection="1">
      <alignment horizontal="center" vertical="top" wrapText="1"/>
      <protection locked="0"/>
    </xf>
    <xf numFmtId="0" fontId="6" fillId="3" borderId="29" xfId="0" applyFont="1" applyFill="1" applyBorder="1" applyAlignment="1" applyProtection="1">
      <alignment horizontal="center" vertical="top" wrapText="1"/>
      <protection locked="0"/>
    </xf>
    <xf numFmtId="0" fontId="6" fillId="3" borderId="30" xfId="0" applyFont="1" applyFill="1" applyBorder="1" applyAlignment="1" applyProtection="1">
      <alignment horizontal="center" vertical="top" wrapText="1"/>
      <protection locked="0"/>
    </xf>
    <xf numFmtId="0" fontId="6" fillId="3" borderId="31" xfId="0" applyFont="1" applyFill="1" applyBorder="1" applyAlignment="1" applyProtection="1">
      <alignment horizontal="center" vertical="top" wrapText="1"/>
      <protection locked="0"/>
    </xf>
    <xf numFmtId="0" fontId="6" fillId="3" borderId="23" xfId="5" applyNumberFormat="1" applyFont="1" applyFill="1" applyBorder="1" applyAlignment="1" applyProtection="1">
      <alignment horizontal="left" vertical="center"/>
      <protection locked="0"/>
    </xf>
    <xf numFmtId="0" fontId="6" fillId="3" borderId="24" xfId="5" applyNumberFormat="1" applyFont="1" applyFill="1" applyBorder="1" applyAlignment="1" applyProtection="1">
      <alignment horizontal="left" vertical="center"/>
      <protection locked="0"/>
    </xf>
    <xf numFmtId="0" fontId="6" fillId="3" borderId="25" xfId="5" applyNumberFormat="1" applyFont="1" applyFill="1" applyBorder="1" applyAlignment="1" applyProtection="1">
      <alignment horizontal="left" vertical="center"/>
      <protection locked="0"/>
    </xf>
    <xf numFmtId="2" fontId="6" fillId="3" borderId="23" xfId="0" applyNumberFormat="1" applyFont="1" applyFill="1" applyBorder="1" applyAlignment="1" applyProtection="1">
      <alignment horizontal="center"/>
      <protection locked="0"/>
    </xf>
    <xf numFmtId="2" fontId="6" fillId="3" borderId="24" xfId="0" applyNumberFormat="1" applyFont="1" applyFill="1" applyBorder="1" applyAlignment="1" applyProtection="1">
      <alignment horizontal="center"/>
      <protection locked="0"/>
    </xf>
    <xf numFmtId="2" fontId="6" fillId="3" borderId="25" xfId="0" applyNumberFormat="1" applyFont="1" applyFill="1" applyBorder="1" applyAlignment="1" applyProtection="1">
      <alignment horizontal="center"/>
      <protection locked="0"/>
    </xf>
    <xf numFmtId="0" fontId="38" fillId="3" borderId="0" xfId="0" applyFont="1" applyFill="1" applyAlignment="1">
      <alignment horizontal="center" wrapText="1"/>
    </xf>
    <xf numFmtId="0" fontId="6" fillId="3" borderId="0" xfId="0" applyFont="1" applyFill="1" applyAlignment="1">
      <alignment horizontal="center"/>
    </xf>
    <xf numFmtId="0" fontId="6" fillId="3" borderId="0" xfId="0" applyFont="1" applyFill="1" applyAlignment="1">
      <alignment horizontal="right" vertical="center"/>
    </xf>
    <xf numFmtId="2" fontId="6" fillId="3" borderId="23" xfId="0" applyNumberFormat="1" applyFont="1" applyFill="1" applyBorder="1" applyAlignment="1" applyProtection="1">
      <alignment horizontal="center" vertical="top"/>
      <protection locked="0"/>
    </xf>
    <xf numFmtId="2" fontId="6" fillId="3" borderId="25" xfId="0" applyNumberFormat="1" applyFont="1" applyFill="1" applyBorder="1" applyAlignment="1" applyProtection="1">
      <alignment horizontal="center" vertical="top"/>
      <protection locked="0"/>
    </xf>
    <xf numFmtId="3" fontId="6" fillId="3" borderId="23" xfId="5" applyNumberFormat="1" applyFont="1" applyFill="1" applyBorder="1" applyAlignment="1" applyProtection="1">
      <alignment horizontal="center" vertical="center"/>
    </xf>
    <xf numFmtId="3" fontId="6" fillId="3" borderId="24" xfId="5" applyNumberFormat="1" applyFont="1" applyFill="1" applyBorder="1" applyAlignment="1" applyProtection="1">
      <alignment horizontal="center" vertical="center"/>
    </xf>
    <xf numFmtId="3" fontId="6" fillId="3" borderId="25" xfId="5" applyNumberFormat="1" applyFont="1" applyFill="1" applyBorder="1" applyAlignment="1" applyProtection="1">
      <alignment horizontal="center" vertical="center"/>
    </xf>
    <xf numFmtId="166" fontId="6" fillId="3" borderId="23" xfId="0" applyNumberFormat="1" applyFont="1" applyFill="1" applyBorder="1" applyAlignment="1">
      <alignment horizontal="center"/>
    </xf>
    <xf numFmtId="166" fontId="6" fillId="3" borderId="24" xfId="0" applyNumberFormat="1" applyFont="1" applyFill="1" applyBorder="1" applyAlignment="1">
      <alignment horizontal="center"/>
    </xf>
    <xf numFmtId="166" fontId="6" fillId="3" borderId="25" xfId="0" applyNumberFormat="1" applyFont="1" applyFill="1" applyBorder="1" applyAlignment="1">
      <alignment horizontal="center"/>
    </xf>
    <xf numFmtId="0" fontId="6" fillId="3" borderId="23" xfId="0" applyFont="1" applyFill="1" applyBorder="1" applyAlignment="1" applyProtection="1">
      <alignment horizontal="left" vertical="center"/>
      <protection locked="0"/>
    </xf>
    <xf numFmtId="0" fontId="6" fillId="3" borderId="24" xfId="0" applyFont="1" applyFill="1" applyBorder="1" applyAlignment="1" applyProtection="1">
      <alignment horizontal="left" vertical="center"/>
      <protection locked="0"/>
    </xf>
    <xf numFmtId="0" fontId="6" fillId="3" borderId="25" xfId="0" applyFont="1" applyFill="1" applyBorder="1" applyAlignment="1" applyProtection="1">
      <alignment horizontal="left" vertical="center"/>
      <protection locked="0"/>
    </xf>
    <xf numFmtId="0" fontId="6" fillId="3" borderId="23" xfId="0" applyFont="1" applyFill="1" applyBorder="1" applyAlignment="1" applyProtection="1">
      <alignment horizontal="left" vertical="top" wrapText="1"/>
      <protection locked="0"/>
    </xf>
    <xf numFmtId="0" fontId="6" fillId="3" borderId="24" xfId="0" applyFont="1" applyFill="1" applyBorder="1" applyAlignment="1" applyProtection="1">
      <alignment horizontal="left" vertical="top" wrapText="1"/>
      <protection locked="0"/>
    </xf>
    <xf numFmtId="0" fontId="6" fillId="3" borderId="25" xfId="0" applyFont="1" applyFill="1" applyBorder="1" applyAlignment="1" applyProtection="1">
      <alignment horizontal="left" vertical="top" wrapText="1"/>
      <protection locked="0"/>
    </xf>
    <xf numFmtId="0" fontId="26" fillId="3" borderId="0" xfId="1" applyFont="1" applyFill="1" applyBorder="1" applyAlignment="1" applyProtection="1">
      <alignment horizontal="right" vertical="center"/>
    </xf>
    <xf numFmtId="0" fontId="6" fillId="3" borderId="23" xfId="0" applyFont="1" applyFill="1" applyBorder="1" applyAlignment="1" applyProtection="1">
      <alignment horizontal="left" vertical="center" wrapText="1"/>
      <protection locked="0"/>
    </xf>
    <xf numFmtId="0" fontId="6" fillId="3" borderId="24" xfId="0" applyFont="1" applyFill="1" applyBorder="1" applyAlignment="1" applyProtection="1">
      <alignment horizontal="left" vertical="center" wrapText="1"/>
      <protection locked="0"/>
    </xf>
    <xf numFmtId="0" fontId="6" fillId="3" borderId="25" xfId="0" applyFont="1" applyFill="1" applyBorder="1" applyAlignment="1" applyProtection="1">
      <alignment horizontal="left" vertical="center" wrapText="1"/>
      <protection locked="0"/>
    </xf>
    <xf numFmtId="0" fontId="35" fillId="3" borderId="0" xfId="0" applyFont="1" applyFill="1" applyAlignment="1">
      <alignment horizontal="left" wrapText="1"/>
    </xf>
    <xf numFmtId="0" fontId="6" fillId="3" borderId="0" xfId="0" applyFont="1" applyFill="1" applyAlignment="1" applyProtection="1">
      <alignment horizontal="left" vertical="center" wrapText="1"/>
      <protection locked="0"/>
    </xf>
    <xf numFmtId="0" fontId="6" fillId="3" borderId="12" xfId="0" applyFont="1" applyFill="1" applyBorder="1" applyAlignment="1">
      <alignment horizontal="center" vertical="center" wrapText="1"/>
    </xf>
    <xf numFmtId="0" fontId="6" fillId="3" borderId="0" xfId="0" applyFont="1" applyFill="1" applyAlignment="1">
      <alignment horizontal="center" vertical="center" wrapText="1"/>
    </xf>
    <xf numFmtId="0" fontId="35" fillId="3" borderId="0" xfId="0" applyFont="1" applyFill="1" applyAlignment="1">
      <alignment horizontal="left" vertical="center"/>
    </xf>
    <xf numFmtId="166" fontId="47" fillId="3" borderId="0" xfId="0" applyNumberFormat="1" applyFont="1" applyFill="1" applyAlignment="1" applyProtection="1">
      <alignment horizontal="center"/>
      <protection locked="0"/>
    </xf>
    <xf numFmtId="0" fontId="6" fillId="3" borderId="23" xfId="0" applyFont="1" applyFill="1" applyBorder="1" applyAlignment="1" applyProtection="1">
      <alignment horizontal="center" vertical="center" wrapText="1"/>
      <protection locked="0"/>
    </xf>
    <xf numFmtId="0" fontId="6" fillId="3" borderId="24" xfId="0" applyFont="1" applyFill="1" applyBorder="1" applyAlignment="1" applyProtection="1">
      <alignment horizontal="center" vertical="center" wrapText="1"/>
      <protection locked="0"/>
    </xf>
    <xf numFmtId="0" fontId="6" fillId="3" borderId="25" xfId="0" applyFont="1" applyFill="1" applyBorder="1" applyAlignment="1" applyProtection="1">
      <alignment horizontal="center" vertical="center" wrapText="1"/>
      <protection locked="0"/>
    </xf>
  </cellXfs>
  <cellStyles count="6">
    <cellStyle name="Comma" xfId="5" builtinId="3"/>
    <cellStyle name="Hyperlink" xfId="1" builtinId="8"/>
    <cellStyle name="Normal" xfId="0" builtinId="0"/>
    <cellStyle name="Per cent" xfId="4" builtinId="5"/>
    <cellStyle name="Standard 2" xfId="2" xr:uid="{00000000-0005-0000-0000-000004000000}"/>
    <cellStyle name="Text" xfId="3" xr:uid="{00000000-0005-0000-0000-000005000000}"/>
  </cellStyles>
  <dxfs count="31">
    <dxf>
      <font>
        <b val="0"/>
        <i val="0"/>
        <strike val="0"/>
        <u val="none"/>
        <color theme="1"/>
      </font>
      <fill>
        <patternFill patternType="solid">
          <fgColor theme="0"/>
          <bgColor theme="0"/>
        </patternFill>
      </fill>
    </dxf>
    <dxf>
      <font>
        <b val="0"/>
        <i val="0"/>
        <strike val="0"/>
        <u val="none"/>
        <color theme="0"/>
      </font>
      <fill>
        <patternFill patternType="solid">
          <fgColor theme="0"/>
          <bgColor theme="0"/>
        </patternFill>
      </fill>
    </dxf>
    <dxf>
      <font>
        <b val="0"/>
        <i val="0"/>
        <strike val="0"/>
        <u val="none"/>
        <color theme="0"/>
      </font>
      <fill>
        <patternFill patternType="solid">
          <fgColor theme="0"/>
          <bgColor theme="0"/>
        </patternFill>
      </fill>
    </dxf>
    <dxf>
      <font>
        <b val="0"/>
        <i val="0"/>
        <strike val="0"/>
        <u val="none"/>
        <color theme="0"/>
      </font>
      <fill>
        <patternFill patternType="solid">
          <fgColor theme="0"/>
          <bgColor theme="0"/>
        </patternFill>
      </fill>
    </dxf>
    <dxf>
      <font>
        <b val="0"/>
        <i val="0"/>
        <strike val="0"/>
        <u val="none"/>
        <color theme="0"/>
      </font>
      <fill>
        <patternFill patternType="solid">
          <fgColor theme="0"/>
          <bgColor theme="0"/>
        </patternFill>
      </fill>
    </dxf>
    <dxf>
      <font>
        <b val="0"/>
        <i val="0"/>
        <strike val="0"/>
        <u val="none"/>
        <color theme="0"/>
      </font>
      <fill>
        <patternFill patternType="solid">
          <fgColor theme="0"/>
          <bgColor theme="0"/>
        </patternFill>
      </fill>
    </dxf>
    <dxf>
      <font>
        <b val="0"/>
        <i val="0"/>
        <strike val="0"/>
        <u val="none"/>
        <color theme="1"/>
      </font>
      <fill>
        <patternFill patternType="solid">
          <fgColor theme="0"/>
          <bgColor theme="0"/>
        </patternFill>
      </fill>
    </dxf>
    <dxf>
      <font>
        <b val="0"/>
        <i val="0"/>
        <strike val="0"/>
        <u val="none"/>
        <color rgb="FF99CCFF"/>
      </font>
      <fill>
        <patternFill patternType="solid">
          <fgColor rgb="FF99CCFF"/>
          <bgColor rgb="FF99CCFF"/>
        </patternFill>
      </fill>
    </dxf>
    <dxf>
      <font>
        <color theme="1"/>
      </font>
      <fill>
        <patternFill>
          <bgColor theme="0"/>
        </patternFill>
      </fill>
    </dxf>
    <dxf>
      <font>
        <u val="none"/>
        <color theme="1"/>
      </font>
      <fill>
        <patternFill>
          <fgColor theme="0"/>
          <bgColor theme="0"/>
        </patternFill>
      </fill>
    </dxf>
    <dxf>
      <font>
        <color theme="1"/>
      </font>
      <fill>
        <patternFill>
          <bgColor theme="0"/>
        </patternFill>
      </fill>
    </dxf>
    <dxf>
      <font>
        <strike val="0"/>
        <color theme="1"/>
      </font>
    </dxf>
    <dxf>
      <font>
        <strike val="0"/>
        <color theme="1"/>
      </font>
    </dxf>
    <dxf>
      <font>
        <color rgb="FF9C0006"/>
      </font>
      <fill>
        <patternFill>
          <bgColor rgb="FFFFC7CE"/>
        </patternFill>
      </fill>
    </dxf>
    <dxf>
      <font>
        <b val="0"/>
        <i val="0"/>
        <strike val="0"/>
        <u val="none"/>
        <color rgb="FF99CCFF"/>
      </font>
      <fill>
        <patternFill patternType="solid">
          <fgColor rgb="FF99CCFF"/>
          <bgColor rgb="FF99CCFF"/>
        </patternFill>
      </fill>
    </dxf>
    <dxf>
      <font>
        <strike val="0"/>
        <color theme="1"/>
      </font>
      <fill>
        <patternFill>
          <bgColor rgb="FFFF0000"/>
        </patternFill>
      </fill>
    </dxf>
    <dxf>
      <font>
        <strike val="0"/>
        <color theme="1"/>
      </font>
      <fill>
        <patternFill>
          <fgColor rgb="FFFF0000"/>
          <bgColor rgb="FFFF0000"/>
        </patternFill>
      </fill>
    </dxf>
    <dxf>
      <font>
        <b val="0"/>
        <i val="0"/>
        <strike val="0"/>
        <u val="none"/>
        <color theme="1"/>
      </font>
      <fill>
        <patternFill patternType="solid">
          <fgColor theme="0"/>
          <bgColor theme="4"/>
        </patternFill>
      </fill>
    </dxf>
    <dxf>
      <fill>
        <patternFill>
          <bgColor rgb="FFFF0000"/>
        </patternFill>
      </fill>
    </dxf>
    <dxf>
      <font>
        <color rgb="FF9C0006"/>
      </font>
      <fill>
        <patternFill patternType="solid">
          <fgColor rgb="FFFF0000"/>
          <bgColor rgb="FFFF0000"/>
        </patternFill>
      </fill>
    </dxf>
    <dxf>
      <font>
        <color rgb="FF9C0006"/>
      </font>
      <fill>
        <patternFill>
          <bgColor rgb="FFFF0000"/>
        </patternFill>
      </fill>
    </dxf>
    <dxf>
      <font>
        <strike val="0"/>
        <color rgb="FF9C0006"/>
      </font>
      <fill>
        <patternFill>
          <fgColor rgb="FFFF0000"/>
          <bgColor rgb="FFFF0000"/>
        </patternFill>
      </fill>
    </dxf>
    <dxf>
      <font>
        <b/>
        <i val="0"/>
        <strike val="0"/>
        <color rgb="FFFF0000"/>
      </font>
    </dxf>
    <dxf>
      <font>
        <b val="0"/>
        <i val="0"/>
        <color theme="1"/>
      </font>
      <fill>
        <patternFill>
          <fgColor theme="0"/>
          <bgColor theme="0"/>
        </patternFill>
      </fill>
    </dxf>
    <dxf>
      <font>
        <b val="0"/>
        <i val="0"/>
        <strike val="0"/>
        <u val="none"/>
        <color theme="0"/>
      </font>
      <fill>
        <patternFill patternType="solid">
          <fgColor theme="0"/>
          <bgColor theme="0"/>
        </patternFill>
      </fill>
    </dxf>
    <dxf>
      <font>
        <b val="0"/>
        <i val="0"/>
        <strike val="0"/>
        <u val="none"/>
        <color theme="0"/>
      </font>
      <fill>
        <patternFill patternType="solid">
          <fgColor theme="0"/>
          <bgColor theme="0"/>
        </patternFill>
      </fill>
    </dxf>
    <dxf>
      <font>
        <b val="0"/>
        <i val="0"/>
        <strike val="0"/>
        <u val="none"/>
        <color theme="0"/>
      </font>
      <fill>
        <patternFill patternType="solid">
          <fgColor theme="0"/>
          <bgColor theme="0"/>
        </patternFill>
      </fill>
    </dxf>
    <dxf>
      <font>
        <b val="0"/>
        <i val="0"/>
        <strike val="0"/>
        <u val="none"/>
        <color theme="0"/>
      </font>
      <fill>
        <patternFill patternType="solid">
          <fgColor theme="0"/>
          <bgColor theme="0"/>
        </patternFill>
      </fill>
    </dxf>
    <dxf>
      <font>
        <b val="0"/>
        <i val="0"/>
        <strike val="0"/>
        <u val="none"/>
        <color theme="0"/>
      </font>
      <fill>
        <patternFill patternType="solid">
          <fgColor theme="0"/>
          <bgColor theme="0"/>
        </patternFill>
      </fill>
    </dxf>
    <dxf>
      <font>
        <b val="0"/>
        <i val="0"/>
        <strike val="0"/>
        <u val="none"/>
        <color theme="0"/>
      </font>
      <fill>
        <patternFill patternType="solid">
          <fgColor theme="0"/>
          <bgColor theme="0"/>
        </patternFill>
      </fill>
    </dxf>
    <dxf>
      <font>
        <b val="0"/>
        <i val="0"/>
        <strike val="0"/>
        <u val="none"/>
        <color theme="0"/>
      </font>
      <fill>
        <patternFill patternType="solid">
          <fgColor theme="0"/>
          <bgColor theme="0"/>
        </patternFill>
      </fill>
    </dxf>
  </dxfs>
  <tableStyles count="0" defaultTableStyle="TableStyleMedium9" defaultPivotStyle="PivotStyleMedium7"/>
  <colors>
    <mruColors>
      <color rgb="FF99CCFF"/>
      <color rgb="FF005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23/09/relationships/Python" Target="python.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fmlaLink="$AF$79" lockText="1" noThreeD="1"/>
</file>

<file path=xl/ctrlProps/ctrlProp2.xml><?xml version="1.0" encoding="utf-8"?>
<formControlPr xmlns="http://schemas.microsoft.com/office/spreadsheetml/2009/9/main" objectType="CheckBox" fmlaLink="$AG$79"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fmlaLink="$AF$70" lockText="1" noThreeD="1"/>
</file>

<file path=xl/ctrlProps/ctrlProp6.xml><?xml version="1.0" encoding="utf-8"?>
<formControlPr xmlns="http://schemas.microsoft.com/office/spreadsheetml/2009/9/main" objectType="CheckBox" fmlaLink="$AF$72" lockText="1" noThreeD="1"/>
</file>

<file path=xl/ctrlProps/ctrlProp7.xml><?xml version="1.0" encoding="utf-8"?>
<formControlPr xmlns="http://schemas.microsoft.com/office/spreadsheetml/2009/9/main" objectType="CheckBox" fmlaLink="$AF$80" lockText="1" noThreeD="1"/>
</file>

<file path=xl/ctrlProps/ctrlProp8.xml><?xml version="1.0" encoding="utf-8"?>
<formControlPr xmlns="http://schemas.microsoft.com/office/spreadsheetml/2009/9/main" objectType="CheckBox" fmlaLink="$AG$80"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254000</xdr:colOff>
          <xdr:row>77</xdr:row>
          <xdr:rowOff>292100</xdr:rowOff>
        </xdr:from>
        <xdr:to>
          <xdr:col>15</xdr:col>
          <xdr:colOff>12700</xdr:colOff>
          <xdr:row>78</xdr:row>
          <xdr:rowOff>203200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63500</xdr:colOff>
          <xdr:row>77</xdr:row>
          <xdr:rowOff>266700</xdr:rowOff>
        </xdr:from>
        <xdr:to>
          <xdr:col>19</xdr:col>
          <xdr:colOff>50800</xdr:colOff>
          <xdr:row>79</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393700</xdr:colOff>
          <xdr:row>19</xdr:row>
          <xdr:rowOff>241300</xdr:rowOff>
        </xdr:from>
        <xdr:to>
          <xdr:col>16</xdr:col>
          <xdr:colOff>0</xdr:colOff>
          <xdr:row>23</xdr:row>
          <xdr:rowOff>63500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393700</xdr:colOff>
          <xdr:row>23</xdr:row>
          <xdr:rowOff>254000</xdr:rowOff>
        </xdr:from>
        <xdr:to>
          <xdr:col>16</xdr:col>
          <xdr:colOff>0</xdr:colOff>
          <xdr:row>27</xdr:row>
          <xdr:rowOff>50800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000-00001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317500</xdr:colOff>
          <xdr:row>67</xdr:row>
          <xdr:rowOff>152400</xdr:rowOff>
        </xdr:from>
        <xdr:to>
          <xdr:col>12</xdr:col>
          <xdr:colOff>152400</xdr:colOff>
          <xdr:row>70</xdr:row>
          <xdr:rowOff>63500</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000-00002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317500</xdr:colOff>
          <xdr:row>70</xdr:row>
          <xdr:rowOff>63500</xdr:rowOff>
        </xdr:from>
        <xdr:to>
          <xdr:col>12</xdr:col>
          <xdr:colOff>152400</xdr:colOff>
          <xdr:row>72</xdr:row>
          <xdr:rowOff>25400</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000-00002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254000</xdr:colOff>
          <xdr:row>78</xdr:row>
          <xdr:rowOff>190500</xdr:rowOff>
        </xdr:from>
        <xdr:to>
          <xdr:col>15</xdr:col>
          <xdr:colOff>0</xdr:colOff>
          <xdr:row>79</xdr:row>
          <xdr:rowOff>231635</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000-00002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63500</xdr:colOff>
          <xdr:row>78</xdr:row>
          <xdr:rowOff>177800</xdr:rowOff>
        </xdr:from>
        <xdr:to>
          <xdr:col>18</xdr:col>
          <xdr:colOff>101600</xdr:colOff>
          <xdr:row>79</xdr:row>
          <xdr:rowOff>231635</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000-00003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xdr:oneCellAnchor>
    <xdr:from>
      <xdr:col>3</xdr:col>
      <xdr:colOff>215898</xdr:colOff>
      <xdr:row>126</xdr:row>
      <xdr:rowOff>118533</xdr:rowOff>
    </xdr:from>
    <xdr:ext cx="5312865" cy="41075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79965" y="17204266"/>
              <a:ext cx="531286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latin typeface="Cambria Math" panose="02040503050406030204" pitchFamily="18" charset="0"/>
                      </a:rPr>
                      <m:t>𝐸</m:t>
                    </m:r>
                    <m:r>
                      <a:rPr lang="de-DE" sz="1100" b="0" i="1">
                        <a:latin typeface="Cambria Math" panose="02040503050406030204" pitchFamily="18" charset="0"/>
                        <a:ea typeface="Cambria Math" panose="02040503050406030204" pitchFamily="18" charset="0"/>
                      </a:rPr>
                      <m:t>=</m:t>
                    </m:r>
                    <m:nary>
                      <m:naryPr>
                        <m:chr m:val="∑"/>
                        <m:supHide m:val="on"/>
                        <m:ctrlPr>
                          <a:rPr lang="de-DE" sz="1100" b="0" i="1">
                            <a:latin typeface="Cambria Math" panose="02040503050406030204" pitchFamily="18" charset="0"/>
                            <a:ea typeface="Cambria Math" panose="02040503050406030204" pitchFamily="18" charset="0"/>
                          </a:rPr>
                        </m:ctrlPr>
                      </m:naryPr>
                      <m:sub>
                        <m:r>
                          <m:rPr>
                            <m:brk m:alnAt="7"/>
                          </m:rPr>
                          <a:rPr lang="de-DE" sz="1100" b="0" i="1">
                            <a:latin typeface="Cambria Math" panose="02040503050406030204" pitchFamily="18" charset="0"/>
                            <a:ea typeface="Cambria Math" panose="02040503050406030204" pitchFamily="18" charset="0"/>
                          </a:rPr>
                          <m:t>𝑛</m:t>
                        </m:r>
                      </m:sub>
                      <m:sup/>
                      <m:e>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𝑆</m:t>
                            </m:r>
                          </m:e>
                          <m:sub>
                            <m:r>
                              <a:rPr lang="de-DE" sz="1100" b="0" i="1">
                                <a:latin typeface="Cambria Math" panose="02040503050406030204" pitchFamily="18" charset="0"/>
                                <a:ea typeface="Cambria Math" panose="02040503050406030204" pitchFamily="18" charset="0"/>
                              </a:rPr>
                              <m:t>𝑛</m:t>
                            </m:r>
                          </m:sub>
                        </m:sSub>
                        <m:r>
                          <a:rPr lang="de-DE" sz="1100" b="0" i="1">
                            <a:latin typeface="Cambria Math" panose="02040503050406030204" pitchFamily="18" charset="0"/>
                            <a:ea typeface="Cambria Math" panose="02040503050406030204" pitchFamily="18" charset="0"/>
                          </a:rPr>
                          <m:t>×</m:t>
                        </m:r>
                        <m:d>
                          <m:dPr>
                            <m:ctrlPr>
                              <a:rPr lang="de-DE" sz="1100" b="0" i="1">
                                <a:latin typeface="Cambria Math" panose="02040503050406030204" pitchFamily="18" charset="0"/>
                                <a:ea typeface="Cambria Math" panose="02040503050406030204" pitchFamily="18" charset="0"/>
                              </a:rPr>
                            </m:ctrlPr>
                          </m:dPr>
                          <m:e>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𝑒</m:t>
                                </m:r>
                              </m:e>
                              <m:sub>
                                <m:r>
                                  <a:rPr lang="de-DE" sz="1100" b="0" i="1">
                                    <a:latin typeface="Cambria Math" panose="02040503050406030204" pitchFamily="18" charset="0"/>
                                    <a:ea typeface="Cambria Math" panose="02040503050406030204" pitchFamily="18" charset="0"/>
                                  </a:rPr>
                                  <m:t>𝑒𝑐</m:t>
                                </m:r>
                                <m:r>
                                  <a:rPr lang="de-DE" sz="1100" b="0" i="1">
                                    <a:latin typeface="Cambria Math" panose="02040503050406030204" pitchFamily="18" charset="0"/>
                                    <a:ea typeface="Cambria Math" panose="02040503050406030204" pitchFamily="18" charset="0"/>
                                  </a:rPr>
                                  <m:t>,</m:t>
                                </m:r>
                                <m:r>
                                  <a:rPr lang="de-DE" sz="1100" b="0" i="1">
                                    <a:latin typeface="Cambria Math" panose="02040503050406030204" pitchFamily="18" charset="0"/>
                                    <a:ea typeface="Cambria Math" panose="02040503050406030204" pitchFamily="18" charset="0"/>
                                  </a:rPr>
                                  <m:t>𝑛</m:t>
                                </m:r>
                              </m:sub>
                            </m:sSub>
                            <m:r>
                              <a:rPr lang="de-DE" sz="1100" b="0" i="1">
                                <a:latin typeface="Cambria Math" panose="02040503050406030204" pitchFamily="18" charset="0"/>
                                <a:ea typeface="Cambria Math" panose="02040503050406030204" pitchFamily="18" charset="0"/>
                              </a:rPr>
                              <m:t>+</m:t>
                            </m:r>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𝑒</m:t>
                                </m:r>
                              </m:e>
                              <m:sub>
                                <m:r>
                                  <a:rPr lang="de-DE" sz="1100" b="0" i="1">
                                    <a:latin typeface="Cambria Math" panose="02040503050406030204" pitchFamily="18" charset="0"/>
                                    <a:ea typeface="Cambria Math" panose="02040503050406030204" pitchFamily="18" charset="0"/>
                                  </a:rPr>
                                  <m:t>𝑡𝑑</m:t>
                                </m:r>
                                <m:r>
                                  <a:rPr lang="de-DE" sz="1100" b="0" i="1">
                                    <a:latin typeface="Cambria Math" panose="02040503050406030204" pitchFamily="18" charset="0"/>
                                    <a:ea typeface="Cambria Math" panose="02040503050406030204" pitchFamily="18" charset="0"/>
                                  </a:rPr>
                                  <m:t>,</m:t>
                                </m:r>
                                <m:r>
                                  <a:rPr lang="de-DE" sz="1100" b="0" i="1">
                                    <a:latin typeface="Cambria Math" panose="02040503050406030204" pitchFamily="18" charset="0"/>
                                    <a:ea typeface="Cambria Math" panose="02040503050406030204" pitchFamily="18" charset="0"/>
                                  </a:rPr>
                                  <m:t>𝑓𝑒𝑒𝑑𝑠𝑡𝑜𝑐𝑘</m:t>
                                </m:r>
                                <m:r>
                                  <a:rPr lang="de-DE" sz="1100" b="0" i="1">
                                    <a:latin typeface="Cambria Math" panose="02040503050406030204" pitchFamily="18" charset="0"/>
                                    <a:ea typeface="Cambria Math" panose="02040503050406030204" pitchFamily="18" charset="0"/>
                                  </a:rPr>
                                  <m:t>,</m:t>
                                </m:r>
                                <m:r>
                                  <a:rPr lang="de-DE" sz="1100" b="0" i="1">
                                    <a:latin typeface="Cambria Math" panose="02040503050406030204" pitchFamily="18" charset="0"/>
                                    <a:ea typeface="Cambria Math" panose="02040503050406030204" pitchFamily="18" charset="0"/>
                                  </a:rPr>
                                  <m:t>𝑛</m:t>
                                </m:r>
                              </m:sub>
                            </m:sSub>
                            <m:r>
                              <a:rPr lang="de-DE" sz="1100" b="0" i="1">
                                <a:latin typeface="Cambria Math" panose="02040503050406030204" pitchFamily="18" charset="0"/>
                                <a:ea typeface="Cambria Math" panose="02040503050406030204" pitchFamily="18" charset="0"/>
                              </a:rPr>
                              <m:t>+</m:t>
                            </m:r>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𝑒</m:t>
                                </m:r>
                              </m:e>
                              <m:sub>
                                <m:r>
                                  <a:rPr lang="de-DE" sz="1100" b="0" i="1">
                                    <a:latin typeface="Cambria Math" panose="02040503050406030204" pitchFamily="18" charset="0"/>
                                    <a:ea typeface="Cambria Math" panose="02040503050406030204" pitchFamily="18" charset="0"/>
                                  </a:rPr>
                                  <m:t>𝑙</m:t>
                                </m:r>
                                <m:r>
                                  <a:rPr lang="de-DE" sz="1100" b="0" i="1">
                                    <a:latin typeface="Cambria Math" panose="02040503050406030204" pitchFamily="18" charset="0"/>
                                    <a:ea typeface="Cambria Math" panose="02040503050406030204" pitchFamily="18" charset="0"/>
                                  </a:rPr>
                                  <m:t>,</m:t>
                                </m:r>
                                <m:r>
                                  <a:rPr lang="de-DE" sz="1100" b="0" i="1">
                                    <a:latin typeface="Cambria Math" panose="02040503050406030204" pitchFamily="18" charset="0"/>
                                    <a:ea typeface="Cambria Math" panose="02040503050406030204" pitchFamily="18" charset="0"/>
                                  </a:rPr>
                                  <m:t>𝑛</m:t>
                                </m:r>
                              </m:sub>
                            </m:sSub>
                            <m:r>
                              <a:rPr lang="de-DE" sz="1100" b="0" i="1">
                                <a:latin typeface="Cambria Math" panose="02040503050406030204" pitchFamily="18" charset="0"/>
                                <a:ea typeface="Cambria Math" panose="02040503050406030204" pitchFamily="18" charset="0"/>
                              </a:rPr>
                              <m:t>−</m:t>
                            </m:r>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𝑒</m:t>
                                </m:r>
                              </m:e>
                              <m:sub>
                                <m:r>
                                  <a:rPr lang="de-DE" sz="1100" b="0" i="1">
                                    <a:latin typeface="Cambria Math" panose="02040503050406030204" pitchFamily="18" charset="0"/>
                                    <a:ea typeface="Cambria Math" panose="02040503050406030204" pitchFamily="18" charset="0"/>
                                  </a:rPr>
                                  <m:t>𝑠𝑐𝑎</m:t>
                                </m:r>
                                <m:r>
                                  <a:rPr lang="de-DE" sz="1100" b="0" i="1">
                                    <a:latin typeface="Cambria Math" panose="02040503050406030204" pitchFamily="18" charset="0"/>
                                    <a:ea typeface="Cambria Math" panose="02040503050406030204" pitchFamily="18" charset="0"/>
                                  </a:rPr>
                                  <m:t>,</m:t>
                                </m:r>
                                <m:r>
                                  <a:rPr lang="de-DE" sz="1100" b="0" i="1">
                                    <a:latin typeface="Cambria Math" panose="02040503050406030204" pitchFamily="18" charset="0"/>
                                    <a:ea typeface="Cambria Math" panose="02040503050406030204" pitchFamily="18" charset="0"/>
                                  </a:rPr>
                                  <m:t>𝑛</m:t>
                                </m:r>
                              </m:sub>
                            </m:sSub>
                          </m:e>
                        </m:d>
                        <m:r>
                          <a:rPr lang="de-DE" sz="1100" b="0" i="1">
                            <a:latin typeface="Cambria Math" panose="02040503050406030204" pitchFamily="18" charset="0"/>
                            <a:ea typeface="Cambria Math" panose="02040503050406030204" pitchFamily="18" charset="0"/>
                          </a:rPr>
                          <m:t>+</m:t>
                        </m:r>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𝑒</m:t>
                            </m:r>
                          </m:e>
                          <m:sub>
                            <m:r>
                              <a:rPr lang="de-DE" sz="1100" b="0" i="1">
                                <a:latin typeface="Cambria Math" panose="02040503050406030204" pitchFamily="18" charset="0"/>
                                <a:ea typeface="Cambria Math" panose="02040503050406030204" pitchFamily="18" charset="0"/>
                              </a:rPr>
                              <m:t>𝑝</m:t>
                            </m:r>
                          </m:sub>
                        </m:sSub>
                        <m:r>
                          <a:rPr lang="de-DE" sz="1100" b="0" i="1">
                            <a:latin typeface="Cambria Math" panose="02040503050406030204" pitchFamily="18" charset="0"/>
                            <a:ea typeface="Cambria Math" panose="02040503050406030204" pitchFamily="18" charset="0"/>
                          </a:rPr>
                          <m:t>+</m:t>
                        </m:r>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𝑒</m:t>
                            </m:r>
                          </m:e>
                          <m:sub>
                            <m:r>
                              <a:rPr lang="de-DE" sz="1100" b="0" i="1">
                                <a:latin typeface="Cambria Math" panose="02040503050406030204" pitchFamily="18" charset="0"/>
                                <a:ea typeface="Cambria Math" panose="02040503050406030204" pitchFamily="18" charset="0"/>
                              </a:rPr>
                              <m:t>𝑡𝑑</m:t>
                            </m:r>
                            <m:r>
                              <a:rPr lang="de-DE" sz="1100" b="0" i="1">
                                <a:latin typeface="Cambria Math" panose="02040503050406030204" pitchFamily="18" charset="0"/>
                                <a:ea typeface="Cambria Math" panose="02040503050406030204" pitchFamily="18" charset="0"/>
                              </a:rPr>
                              <m:t>,</m:t>
                            </m:r>
                            <m:r>
                              <a:rPr lang="de-DE" sz="1100" b="0" i="1">
                                <a:latin typeface="Cambria Math" panose="02040503050406030204" pitchFamily="18" charset="0"/>
                                <a:ea typeface="Cambria Math" panose="02040503050406030204" pitchFamily="18" charset="0"/>
                              </a:rPr>
                              <m:t>𝑝𝑟𝑜𝑑𝑢𝑐𝑡</m:t>
                            </m:r>
                          </m:sub>
                        </m:sSub>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m:t>
                            </m:r>
                            <m:r>
                              <a:rPr lang="de-DE" sz="1100" b="0" i="1">
                                <a:latin typeface="Cambria Math" panose="02040503050406030204" pitchFamily="18" charset="0"/>
                                <a:ea typeface="Cambria Math" panose="02040503050406030204" pitchFamily="18" charset="0"/>
                              </a:rPr>
                              <m:t>𝑒</m:t>
                            </m:r>
                          </m:e>
                          <m:sub>
                            <m:r>
                              <a:rPr lang="de-DE" sz="1100" b="0" i="1">
                                <a:latin typeface="Cambria Math" panose="02040503050406030204" pitchFamily="18" charset="0"/>
                                <a:ea typeface="Cambria Math" panose="02040503050406030204" pitchFamily="18" charset="0"/>
                              </a:rPr>
                              <m:t>𝑢</m:t>
                            </m:r>
                          </m:sub>
                        </m:sSub>
                        <m:r>
                          <a:rPr lang="de-DE" sz="1100" b="0" i="1">
                            <a:latin typeface="Cambria Math" panose="02040503050406030204" pitchFamily="18" charset="0"/>
                            <a:ea typeface="Cambria Math" panose="02040503050406030204" pitchFamily="18" charset="0"/>
                          </a:rPr>
                          <m:t>−</m:t>
                        </m:r>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𝑒</m:t>
                            </m:r>
                          </m:e>
                          <m:sub>
                            <m:r>
                              <a:rPr lang="de-DE" sz="1100" b="0" i="1">
                                <a:latin typeface="Cambria Math" panose="02040503050406030204" pitchFamily="18" charset="0"/>
                                <a:ea typeface="Cambria Math" panose="02040503050406030204" pitchFamily="18" charset="0"/>
                              </a:rPr>
                              <m:t>𝑐𝑐𝑠</m:t>
                            </m:r>
                          </m:sub>
                        </m:sSub>
                        <m:r>
                          <a:rPr lang="de-DE" sz="1100" b="0" i="1">
                            <a:latin typeface="Cambria Math" panose="02040503050406030204" pitchFamily="18" charset="0"/>
                            <a:ea typeface="Cambria Math" panose="02040503050406030204" pitchFamily="18" charset="0"/>
                          </a:rPr>
                          <m:t>−</m:t>
                        </m:r>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𝑒</m:t>
                            </m:r>
                          </m:e>
                          <m:sub>
                            <m:r>
                              <a:rPr lang="de-DE" sz="1100" b="0" i="1">
                                <a:latin typeface="Cambria Math" panose="02040503050406030204" pitchFamily="18" charset="0"/>
                                <a:ea typeface="Cambria Math" panose="02040503050406030204" pitchFamily="18" charset="0"/>
                              </a:rPr>
                              <m:t>𝑐𝑐𝑟</m:t>
                            </m:r>
                          </m:sub>
                        </m:sSub>
                      </m:e>
                    </m:nary>
                  </m:oMath>
                </m:oMathPara>
              </a14:m>
              <a:endParaRPr lang="en-GB" sz="1100"/>
            </a:p>
          </xdr:txBody>
        </xdr:sp>
      </mc:Choice>
      <mc:Fallback xmlns="">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79965" y="17204266"/>
              <a:ext cx="531286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𝐸</a:t>
              </a:r>
              <a:r>
                <a:rPr lang="de-DE" sz="1100" b="0" i="0">
                  <a:latin typeface="Cambria Math" panose="02040503050406030204" pitchFamily="18" charset="0"/>
                  <a:ea typeface="Cambria Math" panose="02040503050406030204" pitchFamily="18" charset="0"/>
                </a:rPr>
                <a:t>=∑_𝑛▒〖𝑆_𝑛×(𝑒_(𝑒𝑐,𝑛)+𝑒_(𝑡𝑑,𝑓𝑒𝑒𝑑𝑠𝑡𝑜𝑐𝑘,𝑛)+𝑒_(𝑙,𝑛)−𝑒_(𝑠𝑐𝑎,𝑛) )+𝑒_𝑝+𝑒_(𝑡𝑑,𝑝𝑟𝑜𝑑𝑢𝑐𝑡) 〖+𝑒〗_𝑢−𝑒_𝑐𝑐𝑠−𝑒_𝑐𝑐𝑟 〗</a:t>
              </a:r>
              <a:endParaRPr lang="en-GB" sz="1100"/>
            </a:p>
          </xdr:txBody>
        </xdr:sp>
      </mc:Fallback>
    </mc:AlternateContent>
    <xdr:clientData/>
  </xdr:oneCellAnchor>
  <xdr:twoCellAnchor editAs="oneCell">
    <xdr:from>
      <xdr:col>22</xdr:col>
      <xdr:colOff>196850</xdr:colOff>
      <xdr:row>1</xdr:row>
      <xdr:rowOff>215900</xdr:rowOff>
    </xdr:from>
    <xdr:to>
      <xdr:col>28</xdr:col>
      <xdr:colOff>336550</xdr:colOff>
      <xdr:row>5</xdr:row>
      <xdr:rowOff>249767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srcRect l="23052" t="31190" r="24350" b="28445"/>
        <a:stretch/>
      </xdr:blipFill>
      <xdr:spPr>
        <a:xfrm>
          <a:off x="5441950" y="508000"/>
          <a:ext cx="1371600" cy="74506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22</xdr:col>
          <xdr:colOff>63500</xdr:colOff>
          <xdr:row>115</xdr:row>
          <xdr:rowOff>177800</xdr:rowOff>
        </xdr:from>
        <xdr:to>
          <xdr:col>24</xdr:col>
          <xdr:colOff>25400</xdr:colOff>
          <xdr:row>117</xdr:row>
          <xdr:rowOff>63500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000-00003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63500</xdr:colOff>
          <xdr:row>116</xdr:row>
          <xdr:rowOff>190500</xdr:rowOff>
        </xdr:from>
        <xdr:to>
          <xdr:col>24</xdr:col>
          <xdr:colOff>114300</xdr:colOff>
          <xdr:row>118</xdr:row>
          <xdr:rowOff>76200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000-00003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63500</xdr:colOff>
          <xdr:row>117</xdr:row>
          <xdr:rowOff>190500</xdr:rowOff>
        </xdr:from>
        <xdr:to>
          <xdr:col>24</xdr:col>
          <xdr:colOff>101600</xdr:colOff>
          <xdr:row>119</xdr:row>
          <xdr:rowOff>76200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000-00003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63500</xdr:colOff>
          <xdr:row>118</xdr:row>
          <xdr:rowOff>190500</xdr:rowOff>
        </xdr:from>
        <xdr:to>
          <xdr:col>24</xdr:col>
          <xdr:colOff>101600</xdr:colOff>
          <xdr:row>121</xdr:row>
          <xdr:rowOff>50800</xdr:rowOff>
        </xdr:to>
        <xdr:sp macro="" textlink="">
          <xdr:nvSpPr>
            <xdr:cNvPr id="4149" name="Check Box 53" hidden="1">
              <a:extLst>
                <a:ext uri="{63B3BB69-23CF-44E3-9099-C40C66FF867C}">
                  <a14:compatExt spid="_x0000_s4149"/>
                </a:ext>
                <a:ext uri="{FF2B5EF4-FFF2-40B4-BE49-F238E27FC236}">
                  <a16:creationId xmlns:a16="http://schemas.microsoft.com/office/drawing/2014/main" id="{00000000-0008-0000-0000-00003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drawing" Target="../drawings/drawing1.xml"/><Relationship Id="rId7" Type="http://schemas.openxmlformats.org/officeDocument/2006/relationships/ctrlProp" Target="../ctrlProps/ctrlProp3.xml"/><Relationship Id="rId12" Type="http://schemas.openxmlformats.org/officeDocument/2006/relationships/ctrlProp" Target="../ctrlProps/ctrlProp8.xml"/><Relationship Id="rId2" Type="http://schemas.openxmlformats.org/officeDocument/2006/relationships/printerSettings" Target="../printerSettings/printerSettings1.bin"/><Relationship Id="rId16" Type="http://schemas.openxmlformats.org/officeDocument/2006/relationships/ctrlProp" Target="../ctrlProps/ctrlProp12.xml"/><Relationship Id="rId1" Type="http://schemas.openxmlformats.org/officeDocument/2006/relationships/hyperlink" Target="http://www.iscc-system.org/"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5" Type="http://schemas.openxmlformats.org/officeDocument/2006/relationships/ctrlProp" Target="../ctrlProps/ctrlProp1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BE162"/>
  <sheetViews>
    <sheetView tabSelected="1" showRuler="0" zoomScale="159" zoomScaleNormal="173" zoomScaleSheetLayoutView="100" zoomScalePageLayoutView="84" workbookViewId="0">
      <selection activeCell="P74" sqref="P74"/>
    </sheetView>
  </sheetViews>
  <sheetFormatPr baseColWidth="10" defaultColWidth="10.83203125" defaultRowHeight="14" x14ac:dyDescent="0.2"/>
  <cols>
    <col min="1" max="1" width="1" style="1" customWidth="1"/>
    <col min="2" max="2" width="1.83203125" style="1" customWidth="1"/>
    <col min="3" max="3" width="3" style="1" customWidth="1"/>
    <col min="4" max="4" width="7.33203125" style="1" customWidth="1"/>
    <col min="5" max="5" width="1.83203125" style="1" customWidth="1"/>
    <col min="6" max="6" width="3.33203125" style="1" customWidth="1"/>
    <col min="7" max="7" width="2.83203125" style="1" customWidth="1"/>
    <col min="8" max="8" width="1.83203125" style="1" customWidth="1"/>
    <col min="9" max="9" width="5.83203125" style="1" customWidth="1"/>
    <col min="10" max="10" width="1.83203125" style="1" customWidth="1"/>
    <col min="11" max="11" width="5.83203125" style="1" customWidth="1"/>
    <col min="12" max="12" width="2" style="1" customWidth="1"/>
    <col min="13" max="13" width="5.83203125" style="1" customWidth="1"/>
    <col min="14" max="14" width="1.83203125" style="1" customWidth="1"/>
    <col min="15" max="15" width="5.83203125" style="1" customWidth="1"/>
    <col min="16" max="16" width="3.6640625" style="1" customWidth="1"/>
    <col min="17" max="17" width="1.6640625" style="1" customWidth="1"/>
    <col min="18" max="18" width="5.33203125" style="1" customWidth="1"/>
    <col min="19" max="19" width="1.83203125" style="1" customWidth="1"/>
    <col min="20" max="20" width="4" style="1" customWidth="1"/>
    <col min="21" max="21" width="0.5" style="1" customWidth="1"/>
    <col min="22" max="22" width="1.5" style="1" customWidth="1"/>
    <col min="23" max="23" width="4.1640625" style="1" customWidth="1"/>
    <col min="24" max="24" width="1.83203125" style="1" customWidth="1"/>
    <col min="25" max="25" width="4.1640625" style="1" customWidth="1"/>
    <col min="26" max="26" width="2" style="1" customWidth="1"/>
    <col min="27" max="27" width="2.5" style="1" customWidth="1"/>
    <col min="28" max="28" width="1.5" style="1" customWidth="1"/>
    <col min="29" max="29" width="5.33203125" style="1" customWidth="1"/>
    <col min="30" max="30" width="2" style="1" hidden="1" customWidth="1"/>
    <col min="31" max="31" width="3.1640625" style="3" hidden="1" customWidth="1"/>
    <col min="32" max="32" width="9.1640625" style="3" hidden="1" customWidth="1"/>
    <col min="33" max="33" width="12.5" style="1" hidden="1" customWidth="1"/>
    <col min="34" max="34" width="9.5" style="1" hidden="1" customWidth="1"/>
    <col min="35" max="35" width="69.5" style="1" hidden="1" customWidth="1"/>
    <col min="36" max="37" width="0.1640625" style="1" hidden="1" customWidth="1"/>
    <col min="38" max="41" width="10.83203125" style="1" hidden="1" customWidth="1"/>
    <col min="42" max="44" width="10.83203125" style="1" customWidth="1"/>
    <col min="45" max="16384" width="10.83203125" style="1"/>
  </cols>
  <sheetData>
    <row r="1" spans="2:35" ht="23" customHeight="1" x14ac:dyDescent="0.2">
      <c r="B1" s="20" t="s">
        <v>214</v>
      </c>
      <c r="C1" s="21"/>
      <c r="D1" s="21"/>
      <c r="E1" s="21"/>
      <c r="F1" s="22"/>
      <c r="G1" s="22"/>
      <c r="H1" s="22"/>
      <c r="I1" s="22"/>
      <c r="J1" s="22"/>
      <c r="K1" s="22"/>
      <c r="L1" s="22"/>
      <c r="M1" s="22"/>
      <c r="N1" s="22"/>
      <c r="O1" s="22"/>
      <c r="P1" s="22"/>
      <c r="Q1" s="22"/>
      <c r="R1" s="22"/>
      <c r="S1" s="47"/>
      <c r="T1" s="46"/>
      <c r="U1" s="46"/>
      <c r="V1" s="46"/>
      <c r="W1" s="46"/>
      <c r="X1" s="46"/>
      <c r="Y1" s="46"/>
      <c r="Z1" s="46"/>
      <c r="AA1" s="46"/>
      <c r="AB1" s="22"/>
      <c r="AC1" s="28" t="s">
        <v>206</v>
      </c>
      <c r="AE1" s="1"/>
      <c r="AF1" s="8"/>
      <c r="AG1" s="8"/>
      <c r="AH1" s="2"/>
      <c r="AI1" s="2"/>
    </row>
    <row r="2" spans="2:35" s="29" customFormat="1" ht="18" customHeight="1" x14ac:dyDescent="0.2">
      <c r="B2" s="30" t="s">
        <v>209</v>
      </c>
      <c r="C2" s="36"/>
      <c r="D2" s="36"/>
      <c r="E2" s="37"/>
      <c r="F2" s="37"/>
      <c r="G2" s="37"/>
      <c r="H2" s="37"/>
      <c r="I2" s="37"/>
      <c r="J2" s="37"/>
      <c r="K2" s="37"/>
      <c r="L2" s="37"/>
      <c r="M2" s="37"/>
      <c r="N2" s="37"/>
      <c r="O2" s="37"/>
      <c r="P2" s="37"/>
      <c r="Q2" s="37"/>
      <c r="R2" s="37"/>
      <c r="S2" s="37"/>
      <c r="T2" s="37"/>
      <c r="U2" s="37"/>
      <c r="V2" s="37"/>
      <c r="W2" s="37"/>
      <c r="X2" s="49"/>
      <c r="Y2" s="48"/>
      <c r="Z2" s="38"/>
      <c r="AA2" s="38"/>
      <c r="AB2" s="38"/>
      <c r="AC2" s="39"/>
      <c r="AF2" s="8"/>
      <c r="AG2" s="8"/>
      <c r="AH2" s="2"/>
      <c r="AI2" s="2"/>
    </row>
    <row r="3" spans="2:35" s="29" customFormat="1" ht="6" customHeight="1" x14ac:dyDescent="0.2">
      <c r="B3" s="211"/>
      <c r="C3" s="212"/>
      <c r="D3" s="212"/>
      <c r="E3" s="212"/>
      <c r="F3" s="212"/>
      <c r="G3" s="212"/>
      <c r="H3" s="212"/>
      <c r="I3" s="212"/>
      <c r="J3" s="212"/>
      <c r="K3" s="212"/>
      <c r="L3" s="212"/>
      <c r="M3" s="212"/>
      <c r="N3" s="212"/>
      <c r="O3" s="212"/>
      <c r="P3" s="212"/>
      <c r="Q3" s="212"/>
      <c r="R3" s="212"/>
      <c r="S3" s="212"/>
      <c r="T3" s="64"/>
      <c r="U3" s="64"/>
      <c r="V3" s="64"/>
      <c r="W3" s="64"/>
      <c r="X3" s="64"/>
      <c r="Y3" s="64"/>
      <c r="Z3" s="64"/>
      <c r="AA3" s="64"/>
      <c r="AB3" s="64"/>
      <c r="AC3" s="65"/>
      <c r="AF3" s="8"/>
      <c r="AG3" s="8"/>
      <c r="AH3" s="2"/>
      <c r="AI3" s="2"/>
    </row>
    <row r="4" spans="2:35" s="29" customFormat="1" ht="28" customHeight="1" x14ac:dyDescent="0.2">
      <c r="B4" s="66"/>
      <c r="C4" s="205" t="s">
        <v>215</v>
      </c>
      <c r="D4" s="205"/>
      <c r="E4" s="205"/>
      <c r="F4" s="205"/>
      <c r="G4" s="205"/>
      <c r="H4" s="205"/>
      <c r="I4" s="205"/>
      <c r="J4" s="259"/>
      <c r="K4" s="260"/>
      <c r="L4" s="260"/>
      <c r="M4" s="260"/>
      <c r="N4" s="260"/>
      <c r="O4" s="260"/>
      <c r="P4" s="260"/>
      <c r="Q4" s="260"/>
      <c r="R4" s="260"/>
      <c r="S4" s="261"/>
      <c r="T4" s="64"/>
      <c r="U4" s="64"/>
      <c r="V4" s="64"/>
      <c r="W4" s="64"/>
      <c r="X4" s="64"/>
      <c r="Y4" s="64"/>
      <c r="Z4" s="64"/>
      <c r="AA4" s="64"/>
      <c r="AB4" s="64"/>
      <c r="AC4" s="65"/>
      <c r="AF4" s="8"/>
      <c r="AG4" s="8"/>
      <c r="AH4" s="2"/>
      <c r="AI4" s="2"/>
    </row>
    <row r="5" spans="2:35" s="29" customFormat="1" ht="4" customHeight="1" x14ac:dyDescent="0.2">
      <c r="B5" s="66"/>
      <c r="C5" s="68"/>
      <c r="D5" s="68"/>
      <c r="E5" s="68"/>
      <c r="F5" s="68"/>
      <c r="G5" s="68"/>
      <c r="H5" s="68"/>
      <c r="I5" s="67"/>
      <c r="J5" s="67"/>
      <c r="K5" s="67"/>
      <c r="L5" s="67"/>
      <c r="M5" s="67"/>
      <c r="N5" s="67"/>
      <c r="O5" s="67"/>
      <c r="P5" s="67"/>
      <c r="Q5" s="67"/>
      <c r="R5" s="67"/>
      <c r="S5" s="64"/>
      <c r="T5" s="67"/>
      <c r="U5" s="64"/>
      <c r="V5" s="64"/>
      <c r="W5" s="64"/>
      <c r="X5" s="64"/>
      <c r="Y5" s="64"/>
      <c r="Z5" s="64"/>
      <c r="AA5" s="64"/>
      <c r="AB5" s="64"/>
      <c r="AC5" s="65"/>
      <c r="AF5" s="8"/>
      <c r="AG5" s="8"/>
      <c r="AH5" s="2"/>
      <c r="AI5" s="2"/>
    </row>
    <row r="6" spans="2:35" s="29" customFormat="1" ht="28" customHeight="1" x14ac:dyDescent="0.15">
      <c r="B6" s="66"/>
      <c r="C6" s="205" t="s">
        <v>216</v>
      </c>
      <c r="D6" s="205"/>
      <c r="E6" s="205"/>
      <c r="F6" s="205"/>
      <c r="G6" s="205"/>
      <c r="H6" s="205"/>
      <c r="I6" s="205"/>
      <c r="J6" s="259"/>
      <c r="K6" s="260"/>
      <c r="L6" s="260"/>
      <c r="M6" s="260"/>
      <c r="N6" s="260"/>
      <c r="O6" s="260"/>
      <c r="P6" s="260"/>
      <c r="Q6" s="260"/>
      <c r="R6" s="260"/>
      <c r="S6" s="261"/>
      <c r="T6" s="69"/>
      <c r="U6" s="64"/>
      <c r="V6" s="70"/>
      <c r="W6" s="71"/>
      <c r="X6" s="71" t="s">
        <v>0</v>
      </c>
      <c r="Y6" s="72"/>
      <c r="Z6" s="72"/>
      <c r="AA6" s="72"/>
      <c r="AB6" s="72"/>
      <c r="AC6" s="73"/>
      <c r="AF6" s="8"/>
      <c r="AG6" s="8"/>
      <c r="AH6" s="2"/>
      <c r="AI6" s="2"/>
    </row>
    <row r="7" spans="2:35" s="29" customFormat="1" ht="4" customHeight="1" x14ac:dyDescent="0.2">
      <c r="B7" s="66"/>
      <c r="C7" s="68"/>
      <c r="D7" s="68"/>
      <c r="E7" s="68"/>
      <c r="F7" s="68"/>
      <c r="G7" s="68"/>
      <c r="H7" s="68"/>
      <c r="I7" s="64"/>
      <c r="J7" s="64"/>
      <c r="K7" s="64"/>
      <c r="L7" s="64"/>
      <c r="M7" s="64"/>
      <c r="N7" s="64"/>
      <c r="O7" s="64"/>
      <c r="P7" s="64"/>
      <c r="Q7" s="64"/>
      <c r="R7" s="64"/>
      <c r="S7" s="258"/>
      <c r="T7" s="258"/>
      <c r="U7" s="258"/>
      <c r="V7" s="258"/>
      <c r="W7" s="258"/>
      <c r="X7" s="64"/>
      <c r="Y7" s="64"/>
      <c r="Z7" s="64"/>
      <c r="AA7" s="64"/>
      <c r="AB7" s="64"/>
      <c r="AC7" s="65"/>
      <c r="AF7" s="8"/>
      <c r="AG7" s="8"/>
      <c r="AH7" s="2"/>
      <c r="AI7" s="2"/>
    </row>
    <row r="8" spans="2:35" s="31" customFormat="1" ht="20" customHeight="1" x14ac:dyDescent="0.2">
      <c r="B8" s="40" t="s">
        <v>7</v>
      </c>
      <c r="C8" s="41"/>
      <c r="D8" s="41"/>
      <c r="E8" s="41"/>
      <c r="F8" s="41"/>
      <c r="G8" s="41"/>
      <c r="H8" s="41"/>
      <c r="I8" s="41"/>
      <c r="J8" s="41"/>
      <c r="K8" s="41"/>
      <c r="L8" s="41"/>
      <c r="M8" s="41"/>
      <c r="N8" s="41"/>
      <c r="O8" s="41" t="s">
        <v>5</v>
      </c>
      <c r="P8" s="41"/>
      <c r="Q8" s="41"/>
      <c r="R8" s="41"/>
      <c r="S8" s="41"/>
      <c r="T8" s="41"/>
      <c r="U8" s="41"/>
      <c r="V8" s="41"/>
      <c r="W8" s="41"/>
      <c r="X8" s="41"/>
      <c r="Y8" s="41"/>
      <c r="Z8" s="41"/>
      <c r="AA8" s="41"/>
      <c r="AB8" s="41"/>
      <c r="AC8" s="42"/>
      <c r="AE8" s="29"/>
      <c r="AF8" s="11"/>
      <c r="AG8" s="11"/>
    </row>
    <row r="9" spans="2:35" s="32" customFormat="1" ht="12" customHeight="1" x14ac:dyDescent="0.2">
      <c r="B9" s="75"/>
      <c r="C9" s="76" t="s">
        <v>1</v>
      </c>
      <c r="D9" s="77"/>
      <c r="E9" s="77"/>
      <c r="F9" s="77"/>
      <c r="G9" s="77"/>
      <c r="H9" s="77"/>
      <c r="I9" s="77"/>
      <c r="J9" s="77"/>
      <c r="K9" s="77"/>
      <c r="L9" s="77"/>
      <c r="M9" s="77"/>
      <c r="N9" s="76"/>
      <c r="O9" s="76" t="s">
        <v>1</v>
      </c>
      <c r="P9" s="76"/>
      <c r="Q9" s="77"/>
      <c r="R9" s="77"/>
      <c r="S9" s="77"/>
      <c r="T9" s="78"/>
      <c r="U9" s="78"/>
      <c r="V9" s="78"/>
      <c r="W9" s="78"/>
      <c r="X9" s="78"/>
      <c r="Y9" s="78"/>
      <c r="Z9" s="78"/>
      <c r="AA9" s="78"/>
      <c r="AB9" s="78"/>
      <c r="AC9" s="79"/>
      <c r="AF9" s="15"/>
      <c r="AG9" s="15"/>
    </row>
    <row r="10" spans="2:35" s="12" customFormat="1" ht="13.25" customHeight="1" x14ac:dyDescent="0.2">
      <c r="B10" s="75"/>
      <c r="C10" s="226"/>
      <c r="D10" s="227"/>
      <c r="E10" s="227"/>
      <c r="F10" s="227"/>
      <c r="G10" s="227"/>
      <c r="H10" s="227"/>
      <c r="I10" s="227"/>
      <c r="J10" s="227"/>
      <c r="K10" s="227"/>
      <c r="L10" s="227"/>
      <c r="M10" s="228"/>
      <c r="N10" s="80"/>
      <c r="O10" s="213"/>
      <c r="P10" s="214"/>
      <c r="Q10" s="214"/>
      <c r="R10" s="214"/>
      <c r="S10" s="214"/>
      <c r="T10" s="214"/>
      <c r="U10" s="214"/>
      <c r="V10" s="214"/>
      <c r="W10" s="214"/>
      <c r="X10" s="214"/>
      <c r="Y10" s="214"/>
      <c r="Z10" s="214"/>
      <c r="AA10" s="214"/>
      <c r="AB10" s="215"/>
      <c r="AC10" s="81"/>
      <c r="AF10" s="13"/>
      <c r="AG10" s="13"/>
    </row>
    <row r="11" spans="2:35" s="12" customFormat="1" ht="13.25" customHeight="1" x14ac:dyDescent="0.2">
      <c r="B11" s="75"/>
      <c r="C11" s="232"/>
      <c r="D11" s="233"/>
      <c r="E11" s="233"/>
      <c r="F11" s="233"/>
      <c r="G11" s="233"/>
      <c r="H11" s="233"/>
      <c r="I11" s="233"/>
      <c r="J11" s="233"/>
      <c r="K11" s="233"/>
      <c r="L11" s="233"/>
      <c r="M11" s="234"/>
      <c r="N11" s="80"/>
      <c r="O11" s="219"/>
      <c r="P11" s="220"/>
      <c r="Q11" s="220"/>
      <c r="R11" s="220"/>
      <c r="S11" s="220"/>
      <c r="T11" s="220"/>
      <c r="U11" s="220"/>
      <c r="V11" s="220"/>
      <c r="W11" s="220"/>
      <c r="X11" s="220"/>
      <c r="Y11" s="220"/>
      <c r="Z11" s="220"/>
      <c r="AA11" s="220"/>
      <c r="AB11" s="221"/>
      <c r="AC11" s="79"/>
      <c r="AF11" s="13"/>
      <c r="AG11" s="13"/>
    </row>
    <row r="12" spans="2:35" s="12" customFormat="1" ht="12" x14ac:dyDescent="0.2">
      <c r="B12" s="75"/>
      <c r="C12" s="76" t="s">
        <v>2</v>
      </c>
      <c r="D12" s="76"/>
      <c r="E12" s="82"/>
      <c r="F12" s="82"/>
      <c r="G12" s="82"/>
      <c r="H12" s="82"/>
      <c r="I12" s="82"/>
      <c r="J12" s="77"/>
      <c r="K12" s="77"/>
      <c r="L12" s="77"/>
      <c r="M12" s="77"/>
      <c r="N12" s="76"/>
      <c r="O12" s="76" t="s">
        <v>2</v>
      </c>
      <c r="P12" s="76"/>
      <c r="Q12" s="76"/>
      <c r="R12" s="82"/>
      <c r="S12" s="82"/>
      <c r="T12" s="76"/>
      <c r="U12" s="76"/>
      <c r="V12" s="76"/>
      <c r="W12" s="76"/>
      <c r="X12" s="76"/>
      <c r="Y12" s="76"/>
      <c r="Z12" s="76"/>
      <c r="AA12" s="76"/>
      <c r="AB12" s="76"/>
      <c r="AC12" s="81"/>
      <c r="AF12" s="16"/>
      <c r="AG12" s="13"/>
    </row>
    <row r="13" spans="2:35" s="12" customFormat="1" ht="13" customHeight="1" x14ac:dyDescent="0.2">
      <c r="B13" s="75"/>
      <c r="C13" s="226"/>
      <c r="D13" s="227"/>
      <c r="E13" s="227"/>
      <c r="F13" s="227"/>
      <c r="G13" s="227"/>
      <c r="H13" s="227"/>
      <c r="I13" s="227"/>
      <c r="J13" s="227"/>
      <c r="K13" s="227"/>
      <c r="L13" s="227"/>
      <c r="M13" s="228"/>
      <c r="N13" s="80"/>
      <c r="O13" s="213"/>
      <c r="P13" s="214"/>
      <c r="Q13" s="214"/>
      <c r="R13" s="214"/>
      <c r="S13" s="214"/>
      <c r="T13" s="214"/>
      <c r="U13" s="214"/>
      <c r="V13" s="214"/>
      <c r="W13" s="214"/>
      <c r="X13" s="214"/>
      <c r="Y13" s="214"/>
      <c r="Z13" s="214"/>
      <c r="AA13" s="214"/>
      <c r="AB13" s="215"/>
      <c r="AC13" s="79"/>
    </row>
    <row r="14" spans="2:35" s="12" customFormat="1" ht="14" customHeight="1" x14ac:dyDescent="0.2">
      <c r="B14" s="75"/>
      <c r="C14" s="229"/>
      <c r="D14" s="230"/>
      <c r="E14" s="230"/>
      <c r="F14" s="230"/>
      <c r="G14" s="230"/>
      <c r="H14" s="230"/>
      <c r="I14" s="230"/>
      <c r="J14" s="230"/>
      <c r="K14" s="230"/>
      <c r="L14" s="230"/>
      <c r="M14" s="231"/>
      <c r="N14" s="80"/>
      <c r="O14" s="216"/>
      <c r="P14" s="217"/>
      <c r="Q14" s="217"/>
      <c r="R14" s="217"/>
      <c r="S14" s="217"/>
      <c r="T14" s="217"/>
      <c r="U14" s="217"/>
      <c r="V14" s="217"/>
      <c r="W14" s="217"/>
      <c r="X14" s="217"/>
      <c r="Y14" s="217"/>
      <c r="Z14" s="217"/>
      <c r="AA14" s="217"/>
      <c r="AB14" s="218"/>
      <c r="AC14" s="81"/>
      <c r="AF14" s="16"/>
      <c r="AG14" s="13"/>
    </row>
    <row r="15" spans="2:35" s="12" customFormat="1" ht="14" customHeight="1" x14ac:dyDescent="0.15">
      <c r="B15" s="75"/>
      <c r="C15" s="232"/>
      <c r="D15" s="233"/>
      <c r="E15" s="233"/>
      <c r="F15" s="233"/>
      <c r="G15" s="233"/>
      <c r="H15" s="233"/>
      <c r="I15" s="233"/>
      <c r="J15" s="233"/>
      <c r="K15" s="233"/>
      <c r="L15" s="233"/>
      <c r="M15" s="234"/>
      <c r="N15" s="80"/>
      <c r="O15" s="219"/>
      <c r="P15" s="220"/>
      <c r="Q15" s="220"/>
      <c r="R15" s="220"/>
      <c r="S15" s="220"/>
      <c r="T15" s="220"/>
      <c r="U15" s="220"/>
      <c r="V15" s="220"/>
      <c r="W15" s="220"/>
      <c r="X15" s="220"/>
      <c r="Y15" s="220"/>
      <c r="Z15" s="220"/>
      <c r="AA15" s="220"/>
      <c r="AB15" s="221"/>
      <c r="AC15" s="81"/>
      <c r="AF15" s="13"/>
      <c r="AG15" s="13"/>
      <c r="AH15" s="17"/>
    </row>
    <row r="16" spans="2:35" s="12" customFormat="1" ht="15" customHeight="1" x14ac:dyDescent="0.15">
      <c r="B16" s="75"/>
      <c r="C16" s="76" t="s">
        <v>35</v>
      </c>
      <c r="D16" s="76"/>
      <c r="E16" s="76"/>
      <c r="F16" s="76"/>
      <c r="G16" s="76"/>
      <c r="H16" s="76"/>
      <c r="I16" s="76"/>
      <c r="J16" s="77"/>
      <c r="K16" s="77"/>
      <c r="L16" s="77"/>
      <c r="M16" s="77"/>
      <c r="N16" s="76"/>
      <c r="O16" s="76"/>
      <c r="P16" s="76"/>
      <c r="Q16" s="80"/>
      <c r="R16" s="80"/>
      <c r="S16" s="80"/>
      <c r="T16" s="80"/>
      <c r="U16" s="80"/>
      <c r="V16" s="80"/>
      <c r="W16" s="80"/>
      <c r="X16" s="80"/>
      <c r="Y16" s="80"/>
      <c r="Z16" s="83"/>
      <c r="AA16" s="83"/>
      <c r="AB16" s="83"/>
      <c r="AC16" s="81"/>
      <c r="AF16" s="13"/>
      <c r="AG16" s="18"/>
      <c r="AH16" s="17"/>
    </row>
    <row r="17" spans="2:35" s="12" customFormat="1" ht="15" customHeight="1" x14ac:dyDescent="0.15">
      <c r="B17" s="75"/>
      <c r="C17" s="76" t="s">
        <v>8</v>
      </c>
      <c r="D17" s="76"/>
      <c r="E17" s="76"/>
      <c r="F17" s="76"/>
      <c r="G17" s="76"/>
      <c r="H17" s="76"/>
      <c r="I17" s="76"/>
      <c r="J17" s="77"/>
      <c r="K17" s="77"/>
      <c r="L17" s="77"/>
      <c r="M17" s="77"/>
      <c r="N17" s="76"/>
      <c r="O17" s="76" t="s">
        <v>9</v>
      </c>
      <c r="P17" s="76"/>
      <c r="Q17" s="76"/>
      <c r="R17" s="76"/>
      <c r="S17" s="76"/>
      <c r="T17" s="76"/>
      <c r="U17" s="76"/>
      <c r="V17" s="76"/>
      <c r="W17" s="76"/>
      <c r="X17" s="76"/>
      <c r="Y17" s="76"/>
      <c r="Z17" s="76"/>
      <c r="AA17" s="76"/>
      <c r="AB17" s="76"/>
      <c r="AC17" s="81"/>
      <c r="AF17" s="13"/>
      <c r="AG17" s="18"/>
      <c r="AH17" s="17"/>
    </row>
    <row r="18" spans="2:35" s="12" customFormat="1" ht="14" customHeight="1" x14ac:dyDescent="0.15">
      <c r="B18" s="75"/>
      <c r="C18" s="252"/>
      <c r="D18" s="253"/>
      <c r="E18" s="253"/>
      <c r="F18" s="253"/>
      <c r="G18" s="253"/>
      <c r="H18" s="253"/>
      <c r="I18" s="253"/>
      <c r="J18" s="253"/>
      <c r="K18" s="253"/>
      <c r="L18" s="253"/>
      <c r="M18" s="254"/>
      <c r="N18" s="76"/>
      <c r="O18" s="223"/>
      <c r="P18" s="224"/>
      <c r="Q18" s="224"/>
      <c r="R18" s="224"/>
      <c r="S18" s="224"/>
      <c r="T18" s="224"/>
      <c r="U18" s="224"/>
      <c r="V18" s="224"/>
      <c r="W18" s="224"/>
      <c r="X18" s="224"/>
      <c r="Y18" s="224"/>
      <c r="Z18" s="224"/>
      <c r="AA18" s="224"/>
      <c r="AB18" s="225"/>
      <c r="AC18" s="81"/>
      <c r="AF18" s="12" t="s">
        <v>34</v>
      </c>
      <c r="AG18" s="13" t="b">
        <f>IF(C18="",TRUE,FALSE)</f>
        <v>1</v>
      </c>
      <c r="AH18" s="17"/>
    </row>
    <row r="19" spans="2:35" s="29" customFormat="1" ht="8" customHeight="1" x14ac:dyDescent="0.2">
      <c r="B19" s="84"/>
      <c r="C19" s="64"/>
      <c r="D19" s="64"/>
      <c r="E19" s="64"/>
      <c r="F19" s="64"/>
      <c r="G19" s="64"/>
      <c r="H19" s="64"/>
      <c r="I19" s="64"/>
      <c r="J19" s="85"/>
      <c r="K19" s="85"/>
      <c r="L19" s="85"/>
      <c r="M19" s="85"/>
      <c r="N19" s="86"/>
      <c r="O19" s="86"/>
      <c r="P19" s="86"/>
      <c r="Q19" s="86"/>
      <c r="R19" s="64"/>
      <c r="S19" s="64"/>
      <c r="T19" s="64"/>
      <c r="U19" s="64"/>
      <c r="V19" s="64"/>
      <c r="W19" s="64"/>
      <c r="X19" s="64"/>
      <c r="Y19" s="64"/>
      <c r="Z19" s="64"/>
      <c r="AA19" s="64"/>
      <c r="AB19" s="64"/>
      <c r="AC19" s="65"/>
      <c r="AF19" s="4"/>
      <c r="AG19" s="4"/>
      <c r="AH19" s="3"/>
      <c r="AI19" s="3"/>
    </row>
    <row r="20" spans="2:35" s="29" customFormat="1" ht="24" customHeight="1" x14ac:dyDescent="0.2">
      <c r="B20" s="66"/>
      <c r="C20" s="205" t="s">
        <v>48</v>
      </c>
      <c r="D20" s="205"/>
      <c r="E20" s="205"/>
      <c r="F20" s="205"/>
      <c r="G20" s="205"/>
      <c r="H20" s="205"/>
      <c r="I20" s="205"/>
      <c r="J20" s="205"/>
      <c r="K20" s="205"/>
      <c r="L20" s="255"/>
      <c r="M20" s="256"/>
      <c r="N20" s="256"/>
      <c r="O20" s="256"/>
      <c r="P20" s="256"/>
      <c r="Q20" s="256"/>
      <c r="R20" s="256"/>
      <c r="S20" s="256"/>
      <c r="T20" s="256"/>
      <c r="U20" s="256"/>
      <c r="V20" s="256"/>
      <c r="W20" s="256"/>
      <c r="X20" s="256"/>
      <c r="Y20" s="256"/>
      <c r="Z20" s="256"/>
      <c r="AA20" s="256"/>
      <c r="AB20" s="257"/>
      <c r="AC20" s="65"/>
      <c r="AF20" s="8"/>
      <c r="AG20" s="8"/>
      <c r="AH20" s="2"/>
      <c r="AI20" s="2"/>
    </row>
    <row r="21" spans="2:35" s="29" customFormat="1" ht="5" customHeight="1" x14ac:dyDescent="0.2">
      <c r="B21" s="66"/>
      <c r="C21" s="68"/>
      <c r="D21" s="68"/>
      <c r="E21" s="68"/>
      <c r="F21" s="68"/>
      <c r="G21" s="68"/>
      <c r="H21" s="68"/>
      <c r="I21" s="64"/>
      <c r="J21" s="64"/>
      <c r="K21" s="64"/>
      <c r="L21" s="64"/>
      <c r="M21" s="64"/>
      <c r="N21" s="64"/>
      <c r="O21" s="64"/>
      <c r="P21" s="64"/>
      <c r="Q21" s="64"/>
      <c r="R21" s="64"/>
      <c r="S21" s="74"/>
      <c r="T21" s="74"/>
      <c r="U21" s="74"/>
      <c r="V21" s="74"/>
      <c r="W21" s="74"/>
      <c r="X21" s="64"/>
      <c r="Y21" s="64"/>
      <c r="Z21" s="64"/>
      <c r="AA21" s="64"/>
      <c r="AB21" s="64"/>
      <c r="AC21" s="65"/>
      <c r="AF21" s="8"/>
      <c r="AG21" s="8"/>
      <c r="AH21" s="2"/>
      <c r="AI21" s="2"/>
    </row>
    <row r="22" spans="2:35" s="29" customFormat="1" ht="11" customHeight="1" x14ac:dyDescent="0.2">
      <c r="B22" s="66"/>
      <c r="C22" s="68"/>
      <c r="D22" s="68"/>
      <c r="E22" s="68"/>
      <c r="F22" s="68"/>
      <c r="G22" s="68"/>
      <c r="H22" s="68"/>
      <c r="I22" s="64"/>
      <c r="J22" s="87"/>
      <c r="K22" s="64"/>
      <c r="L22" s="64"/>
      <c r="M22" s="76" t="s">
        <v>112</v>
      </c>
      <c r="N22" s="64"/>
      <c r="O22" s="64"/>
      <c r="P22" s="64"/>
      <c r="Q22" s="64"/>
      <c r="R22" s="64"/>
      <c r="S22" s="74"/>
      <c r="T22" s="74"/>
      <c r="U22" s="74"/>
      <c r="V22" s="74"/>
      <c r="W22" s="74"/>
      <c r="X22" s="64"/>
      <c r="Y22" s="64"/>
      <c r="Z22" s="64"/>
      <c r="AA22" s="64"/>
      <c r="AB22" s="64"/>
      <c r="AC22" s="65"/>
      <c r="AF22" s="8"/>
      <c r="AG22" s="8"/>
      <c r="AH22" s="2"/>
      <c r="AI22" s="2"/>
    </row>
    <row r="23" spans="2:35" s="29" customFormat="1" ht="5" customHeight="1" x14ac:dyDescent="0.2">
      <c r="B23" s="66"/>
      <c r="C23" s="68"/>
      <c r="D23" s="68"/>
      <c r="E23" s="68"/>
      <c r="F23" s="68"/>
      <c r="G23" s="68"/>
      <c r="H23" s="68"/>
      <c r="I23" s="64" t="s">
        <v>49</v>
      </c>
      <c r="J23" s="64"/>
      <c r="K23" s="64"/>
      <c r="L23" s="64"/>
      <c r="M23" s="64"/>
      <c r="N23" s="64"/>
      <c r="O23" s="64"/>
      <c r="P23" s="64"/>
      <c r="Q23" s="64"/>
      <c r="R23" s="64"/>
      <c r="S23" s="74"/>
      <c r="T23" s="74"/>
      <c r="U23" s="74"/>
      <c r="V23" s="74"/>
      <c r="W23" s="74"/>
      <c r="X23" s="64"/>
      <c r="Y23" s="64"/>
      <c r="Z23" s="64"/>
      <c r="AA23" s="64"/>
      <c r="AB23" s="64"/>
      <c r="AC23" s="65"/>
      <c r="AF23" s="8"/>
      <c r="AG23" s="8"/>
      <c r="AH23" s="2"/>
      <c r="AI23" s="2"/>
    </row>
    <row r="24" spans="2:35" s="29" customFormat="1" ht="24" customHeight="1" x14ac:dyDescent="0.2">
      <c r="B24" s="66"/>
      <c r="C24" s="205" t="s">
        <v>50</v>
      </c>
      <c r="D24" s="205"/>
      <c r="E24" s="205"/>
      <c r="F24" s="205"/>
      <c r="G24" s="205"/>
      <c r="H24" s="205"/>
      <c r="I24" s="205"/>
      <c r="J24" s="205"/>
      <c r="K24" s="205"/>
      <c r="L24" s="255"/>
      <c r="M24" s="256"/>
      <c r="N24" s="256"/>
      <c r="O24" s="256"/>
      <c r="P24" s="256"/>
      <c r="Q24" s="256"/>
      <c r="R24" s="256"/>
      <c r="S24" s="256"/>
      <c r="T24" s="256"/>
      <c r="U24" s="256"/>
      <c r="V24" s="256"/>
      <c r="W24" s="256"/>
      <c r="X24" s="256"/>
      <c r="Y24" s="256"/>
      <c r="Z24" s="256"/>
      <c r="AA24" s="256"/>
      <c r="AB24" s="257"/>
      <c r="AC24" s="65"/>
      <c r="AF24" s="8"/>
      <c r="AG24" s="8"/>
      <c r="AH24" s="2"/>
      <c r="AI24" s="2"/>
    </row>
    <row r="25" spans="2:35" s="29" customFormat="1" ht="5" customHeight="1" x14ac:dyDescent="0.2">
      <c r="B25" s="66"/>
      <c r="C25" s="68"/>
      <c r="D25" s="68"/>
      <c r="E25" s="68"/>
      <c r="F25" s="68"/>
      <c r="G25" s="68"/>
      <c r="H25" s="68"/>
      <c r="I25" s="64"/>
      <c r="J25" s="64"/>
      <c r="K25" s="64"/>
      <c r="L25" s="64"/>
      <c r="M25" s="64"/>
      <c r="N25" s="64"/>
      <c r="O25" s="64"/>
      <c r="P25" s="64"/>
      <c r="Q25" s="64"/>
      <c r="R25" s="64"/>
      <c r="S25" s="74"/>
      <c r="T25" s="74"/>
      <c r="U25" s="74"/>
      <c r="V25" s="74"/>
      <c r="W25" s="74"/>
      <c r="X25" s="64"/>
      <c r="Y25" s="64"/>
      <c r="Z25" s="64"/>
      <c r="AA25" s="64"/>
      <c r="AB25" s="64"/>
      <c r="AC25" s="65"/>
      <c r="AF25" s="8"/>
      <c r="AG25" s="8"/>
      <c r="AH25" s="2"/>
      <c r="AI25" s="2"/>
    </row>
    <row r="26" spans="2:35" s="29" customFormat="1" ht="11" customHeight="1" x14ac:dyDescent="0.2">
      <c r="B26" s="66"/>
      <c r="C26" s="68"/>
      <c r="D26" s="68"/>
      <c r="E26" s="68"/>
      <c r="F26" s="68"/>
      <c r="G26" s="68"/>
      <c r="H26" s="68"/>
      <c r="I26" s="64"/>
      <c r="J26" s="87"/>
      <c r="K26" s="64"/>
      <c r="L26" s="64"/>
      <c r="M26" s="76" t="s">
        <v>113</v>
      </c>
      <c r="N26" s="64"/>
      <c r="O26" s="64"/>
      <c r="P26" s="64"/>
      <c r="Q26" s="64"/>
      <c r="R26" s="64"/>
      <c r="S26" s="74"/>
      <c r="T26" s="74"/>
      <c r="U26" s="74"/>
      <c r="V26" s="74"/>
      <c r="W26" s="74"/>
      <c r="X26" s="64"/>
      <c r="Y26" s="64"/>
      <c r="Z26" s="64"/>
      <c r="AA26" s="64"/>
      <c r="AB26" s="64"/>
      <c r="AC26" s="65"/>
      <c r="AF26" s="8"/>
      <c r="AG26" s="8"/>
      <c r="AH26" s="2"/>
      <c r="AI26" s="2"/>
    </row>
    <row r="27" spans="2:35" s="29" customFormat="1" ht="5" customHeight="1" x14ac:dyDescent="0.2">
      <c r="B27" s="66"/>
      <c r="C27" s="68"/>
      <c r="D27" s="68"/>
      <c r="E27" s="68"/>
      <c r="F27" s="68"/>
      <c r="G27" s="68"/>
      <c r="H27" s="68"/>
      <c r="I27" s="64" t="s">
        <v>49</v>
      </c>
      <c r="J27" s="64"/>
      <c r="K27" s="64"/>
      <c r="L27" s="64"/>
      <c r="M27" s="64"/>
      <c r="N27" s="64"/>
      <c r="O27" s="64"/>
      <c r="P27" s="64"/>
      <c r="Q27" s="64"/>
      <c r="R27" s="64"/>
      <c r="S27" s="74"/>
      <c r="T27" s="74"/>
      <c r="U27" s="74"/>
      <c r="V27" s="74"/>
      <c r="W27" s="74"/>
      <c r="X27" s="64"/>
      <c r="Y27" s="64"/>
      <c r="Z27" s="64"/>
      <c r="AA27" s="64"/>
      <c r="AB27" s="64"/>
      <c r="AC27" s="65"/>
      <c r="AF27" s="8"/>
      <c r="AG27" s="8"/>
      <c r="AH27" s="2"/>
      <c r="AI27" s="2"/>
    </row>
    <row r="28" spans="2:35" s="29" customFormat="1" ht="18" customHeight="1" x14ac:dyDescent="0.2">
      <c r="B28" s="66"/>
      <c r="C28" s="208" t="s">
        <v>110</v>
      </c>
      <c r="D28" s="208"/>
      <c r="E28" s="208"/>
      <c r="F28" s="208"/>
      <c r="G28" s="208"/>
      <c r="H28" s="208"/>
      <c r="I28" s="208"/>
      <c r="J28" s="208"/>
      <c r="K28" s="208"/>
      <c r="L28" s="259"/>
      <c r="M28" s="260"/>
      <c r="N28" s="260"/>
      <c r="O28" s="260"/>
      <c r="P28" s="260"/>
      <c r="Q28" s="260"/>
      <c r="R28" s="260"/>
      <c r="S28" s="260"/>
      <c r="T28" s="260"/>
      <c r="U28" s="260"/>
      <c r="V28" s="260"/>
      <c r="W28" s="260"/>
      <c r="X28" s="260"/>
      <c r="Y28" s="260"/>
      <c r="Z28" s="260"/>
      <c r="AA28" s="260"/>
      <c r="AB28" s="261"/>
      <c r="AC28" s="88"/>
      <c r="AF28" s="8"/>
      <c r="AG28" s="8"/>
      <c r="AH28" s="2"/>
      <c r="AI28" s="2"/>
    </row>
    <row r="29" spans="2:35" s="29" customFormat="1" ht="3" customHeight="1" x14ac:dyDescent="0.2">
      <c r="B29" s="66"/>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88"/>
      <c r="AF29" s="8"/>
      <c r="AG29" s="8"/>
      <c r="AH29" s="2"/>
      <c r="AI29" s="2"/>
    </row>
    <row r="30" spans="2:35" s="29" customFormat="1" ht="18" customHeight="1" x14ac:dyDescent="0.2">
      <c r="B30" s="66"/>
      <c r="C30" s="76" t="s">
        <v>203</v>
      </c>
      <c r="D30" s="68"/>
      <c r="E30" s="68"/>
      <c r="F30" s="68"/>
      <c r="G30" s="68"/>
      <c r="H30" s="68"/>
      <c r="I30" s="68"/>
      <c r="J30" s="68"/>
      <c r="K30" s="68"/>
      <c r="L30" s="268"/>
      <c r="M30" s="269"/>
      <c r="N30" s="269"/>
      <c r="O30" s="270"/>
      <c r="P30" s="68"/>
      <c r="Q30" s="263"/>
      <c r="R30" s="263"/>
      <c r="S30" s="263"/>
      <c r="T30" s="263"/>
      <c r="U30" s="263"/>
      <c r="V30" s="263"/>
      <c r="W30" s="263"/>
      <c r="X30" s="263"/>
      <c r="Y30" s="263"/>
      <c r="Z30" s="263"/>
      <c r="AA30" s="263"/>
      <c r="AB30" s="263"/>
      <c r="AC30" s="88"/>
      <c r="AF30" s="8"/>
      <c r="AG30" s="8"/>
      <c r="AH30" s="2"/>
      <c r="AI30" s="2"/>
    </row>
    <row r="31" spans="2:35" s="29" customFormat="1" ht="3" customHeight="1" x14ac:dyDescent="0.2">
      <c r="B31" s="66"/>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88"/>
      <c r="AF31" s="8"/>
      <c r="AG31" s="8"/>
      <c r="AH31" s="2"/>
      <c r="AI31" s="2"/>
    </row>
    <row r="32" spans="2:35" s="29" customFormat="1" ht="3" customHeight="1" thickBot="1" x14ac:dyDescent="0.25">
      <c r="B32" s="90"/>
      <c r="C32" s="91"/>
      <c r="D32" s="91"/>
      <c r="E32" s="92"/>
      <c r="F32" s="92"/>
      <c r="G32" s="92"/>
      <c r="H32" s="92"/>
      <c r="I32" s="92"/>
      <c r="J32" s="92"/>
      <c r="K32" s="92"/>
      <c r="L32" s="92"/>
      <c r="M32" s="92"/>
      <c r="N32" s="92"/>
      <c r="O32" s="92"/>
      <c r="P32" s="92"/>
      <c r="Q32" s="92"/>
      <c r="R32" s="92"/>
      <c r="S32" s="92"/>
      <c r="T32" s="92"/>
      <c r="U32" s="92"/>
      <c r="V32" s="92"/>
      <c r="W32" s="92"/>
      <c r="X32" s="92"/>
      <c r="Y32" s="92"/>
      <c r="Z32" s="92"/>
      <c r="AA32" s="92"/>
      <c r="AB32" s="92"/>
      <c r="AC32" s="93"/>
      <c r="AF32" s="8"/>
      <c r="AG32" s="8"/>
      <c r="AH32" s="2"/>
      <c r="AI32" s="2"/>
    </row>
    <row r="33" spans="1:35" s="29" customFormat="1" ht="20" customHeight="1" x14ac:dyDescent="0.2">
      <c r="B33" s="50" t="s">
        <v>6</v>
      </c>
      <c r="C33" s="51"/>
      <c r="D33" s="51"/>
      <c r="E33" s="51"/>
      <c r="F33" s="52"/>
      <c r="G33" s="52"/>
      <c r="H33" s="52"/>
      <c r="I33" s="52"/>
      <c r="J33" s="52"/>
      <c r="K33" s="52"/>
      <c r="L33" s="52"/>
      <c r="M33" s="52"/>
      <c r="N33" s="52"/>
      <c r="O33" s="52"/>
      <c r="P33" s="52"/>
      <c r="Q33" s="52"/>
      <c r="R33" s="52"/>
      <c r="S33" s="52"/>
      <c r="T33" s="52"/>
      <c r="U33" s="52"/>
      <c r="V33" s="52"/>
      <c r="W33" s="52"/>
      <c r="X33" s="52"/>
      <c r="Y33" s="52"/>
      <c r="Z33" s="52"/>
      <c r="AA33" s="52"/>
      <c r="AB33" s="52"/>
      <c r="AC33" s="53"/>
      <c r="AF33" s="4"/>
      <c r="AG33" s="4"/>
      <c r="AH33"/>
      <c r="AI33" s="3"/>
    </row>
    <row r="34" spans="1:35" s="29" customFormat="1" ht="5.25" customHeight="1" x14ac:dyDescent="0.2">
      <c r="B34" s="96"/>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8"/>
      <c r="AF34" s="4"/>
      <c r="AG34" s="4"/>
      <c r="AH34" s="3"/>
      <c r="AI34" s="3"/>
    </row>
    <row r="35" spans="1:35" s="12" customFormat="1" ht="14" customHeight="1" x14ac:dyDescent="0.15">
      <c r="B35" s="75"/>
      <c r="C35" s="82" t="s">
        <v>43</v>
      </c>
      <c r="D35" s="76"/>
      <c r="E35" s="76"/>
      <c r="F35" s="82"/>
      <c r="G35" s="82"/>
      <c r="H35" s="223"/>
      <c r="I35" s="224"/>
      <c r="J35" s="224"/>
      <c r="K35" s="224"/>
      <c r="L35" s="224"/>
      <c r="M35" s="224"/>
      <c r="N35" s="224"/>
      <c r="O35" s="224"/>
      <c r="P35" s="225"/>
      <c r="Q35" s="82"/>
      <c r="R35" s="209" t="s">
        <v>109</v>
      </c>
      <c r="S35" s="99"/>
      <c r="T35" s="210" t="s">
        <v>218</v>
      </c>
      <c r="U35" s="100"/>
      <c r="V35" s="99"/>
      <c r="W35" s="209" t="s">
        <v>219</v>
      </c>
      <c r="X35" s="99"/>
      <c r="Y35" s="209" t="s">
        <v>220</v>
      </c>
      <c r="Z35" s="99"/>
      <c r="AA35" s="209" t="s">
        <v>221</v>
      </c>
      <c r="AB35" s="209"/>
      <c r="AC35" s="101"/>
      <c r="AF35" s="13"/>
      <c r="AG35" s="13"/>
      <c r="AH35" s="14"/>
      <c r="AI35" s="3"/>
    </row>
    <row r="36" spans="1:35" s="12" customFormat="1" ht="5.25" customHeight="1" x14ac:dyDescent="0.15">
      <c r="B36" s="75"/>
      <c r="C36" s="102"/>
      <c r="D36" s="82"/>
      <c r="E36" s="82"/>
      <c r="F36" s="82"/>
      <c r="G36" s="82"/>
      <c r="H36" s="82"/>
      <c r="I36" s="82"/>
      <c r="J36" s="82"/>
      <c r="K36" s="82"/>
      <c r="L36" s="82"/>
      <c r="M36" s="82"/>
      <c r="N36" s="82"/>
      <c r="O36" s="82"/>
      <c r="P36" s="82"/>
      <c r="Q36" s="82"/>
      <c r="R36" s="209"/>
      <c r="S36" s="99"/>
      <c r="T36" s="210"/>
      <c r="U36" s="100"/>
      <c r="V36" s="99"/>
      <c r="W36" s="209"/>
      <c r="X36" s="99"/>
      <c r="Y36" s="209"/>
      <c r="Z36" s="99"/>
      <c r="AA36" s="209"/>
      <c r="AB36" s="209"/>
      <c r="AC36" s="101"/>
      <c r="AF36" s="13"/>
      <c r="AG36" s="13"/>
    </row>
    <row r="37" spans="1:35" s="12" customFormat="1" ht="29" customHeight="1" x14ac:dyDescent="0.15">
      <c r="B37" s="75"/>
      <c r="C37" s="103" t="s">
        <v>38</v>
      </c>
      <c r="D37" s="262" t="s">
        <v>40</v>
      </c>
      <c r="E37" s="262"/>
      <c r="F37" s="242" t="s">
        <v>39</v>
      </c>
      <c r="G37" s="242"/>
      <c r="H37" s="242"/>
      <c r="I37" s="242"/>
      <c r="J37" s="104"/>
      <c r="K37" s="105"/>
      <c r="L37" s="105"/>
      <c r="M37" s="222" t="s">
        <v>108</v>
      </c>
      <c r="N37" s="222"/>
      <c r="O37" s="222"/>
      <c r="P37" s="222"/>
      <c r="Q37" s="105"/>
      <c r="R37" s="209"/>
      <c r="S37" s="99"/>
      <c r="T37" s="210"/>
      <c r="U37" s="99"/>
      <c r="V37" s="99"/>
      <c r="W37" s="209"/>
      <c r="X37" s="99"/>
      <c r="Y37" s="209"/>
      <c r="Z37" s="99"/>
      <c r="AA37" s="209"/>
      <c r="AB37" s="209"/>
      <c r="AC37" s="101"/>
      <c r="AF37" s="13"/>
      <c r="AG37" s="13"/>
      <c r="AH37" s="14"/>
      <c r="AI37" s="14"/>
    </row>
    <row r="38" spans="1:35" s="12" customFormat="1" ht="13" customHeight="1" x14ac:dyDescent="0.2">
      <c r="B38" s="75"/>
      <c r="C38" s="82">
        <v>1</v>
      </c>
      <c r="D38" s="95"/>
      <c r="E38" s="106"/>
      <c r="F38" s="235"/>
      <c r="G38" s="236"/>
      <c r="H38" s="236"/>
      <c r="I38" s="236"/>
      <c r="J38" s="236"/>
      <c r="K38" s="237"/>
      <c r="L38" s="76"/>
      <c r="M38" s="223"/>
      <c r="N38" s="224"/>
      <c r="O38" s="224"/>
      <c r="P38" s="225"/>
      <c r="Q38" s="76"/>
      <c r="R38" s="95"/>
      <c r="S38" s="76"/>
      <c r="T38" s="95"/>
      <c r="U38" s="76"/>
      <c r="V38" s="76"/>
      <c r="W38" s="95"/>
      <c r="X38" s="76"/>
      <c r="Y38" s="95"/>
      <c r="Z38" s="107"/>
      <c r="AA38" s="223"/>
      <c r="AB38" s="225"/>
      <c r="AC38" s="81"/>
      <c r="AF38" s="13"/>
      <c r="AG38" s="13"/>
      <c r="AH38" s="14"/>
      <c r="AI38" s="14"/>
    </row>
    <row r="39" spans="1:35" s="12" customFormat="1" ht="2" customHeight="1" x14ac:dyDescent="0.2">
      <c r="B39" s="75"/>
      <c r="C39" s="82"/>
      <c r="D39" s="106"/>
      <c r="E39" s="82"/>
      <c r="F39" s="82"/>
      <c r="G39" s="82"/>
      <c r="H39" s="82"/>
      <c r="I39" s="82"/>
      <c r="J39" s="82"/>
      <c r="K39" s="82"/>
      <c r="L39" s="82"/>
      <c r="M39" s="76"/>
      <c r="N39" s="76"/>
      <c r="O39" s="76"/>
      <c r="P39" s="76"/>
      <c r="Q39" s="82"/>
      <c r="R39" s="82"/>
      <c r="S39" s="82"/>
      <c r="T39" s="82"/>
      <c r="U39" s="82"/>
      <c r="V39" s="82"/>
      <c r="W39" s="82"/>
      <c r="X39" s="82"/>
      <c r="Y39" s="82"/>
      <c r="Z39" s="82"/>
      <c r="AA39" s="82"/>
      <c r="AB39" s="82"/>
      <c r="AC39" s="81"/>
      <c r="AH39" s="14"/>
      <c r="AI39" s="14"/>
    </row>
    <row r="40" spans="1:35" s="12" customFormat="1" ht="13" customHeight="1" x14ac:dyDescent="0.2">
      <c r="B40" s="75"/>
      <c r="C40" s="82">
        <v>2</v>
      </c>
      <c r="D40" s="94"/>
      <c r="E40" s="82"/>
      <c r="F40" s="235"/>
      <c r="G40" s="236"/>
      <c r="H40" s="236"/>
      <c r="I40" s="236"/>
      <c r="J40" s="236"/>
      <c r="K40" s="237"/>
      <c r="L40" s="76"/>
      <c r="M40" s="223"/>
      <c r="N40" s="224"/>
      <c r="O40" s="224"/>
      <c r="P40" s="225"/>
      <c r="Q40" s="76"/>
      <c r="R40" s="108"/>
      <c r="S40" s="76"/>
      <c r="T40" s="95"/>
      <c r="U40" s="76"/>
      <c r="V40" s="76"/>
      <c r="W40" s="95"/>
      <c r="X40" s="76"/>
      <c r="Y40" s="95"/>
      <c r="Z40" s="107"/>
      <c r="AA40" s="223"/>
      <c r="AB40" s="225"/>
      <c r="AC40" s="81"/>
      <c r="AF40" s="13"/>
      <c r="AG40" s="13"/>
    </row>
    <row r="41" spans="1:35" s="12" customFormat="1" ht="2" customHeight="1" x14ac:dyDescent="0.2">
      <c r="B41" s="75"/>
      <c r="C41" s="83"/>
      <c r="D41" s="83"/>
      <c r="E41" s="83"/>
      <c r="F41" s="83"/>
      <c r="G41" s="83"/>
      <c r="H41" s="83"/>
      <c r="I41" s="83"/>
      <c r="J41" s="83"/>
      <c r="K41" s="83"/>
      <c r="L41" s="83"/>
      <c r="M41" s="83"/>
      <c r="N41" s="83"/>
      <c r="O41" s="83"/>
      <c r="P41" s="83"/>
      <c r="Q41" s="83"/>
      <c r="R41" s="83"/>
      <c r="S41" s="83"/>
      <c r="T41" s="83"/>
      <c r="U41" s="83"/>
      <c r="V41" s="83"/>
      <c r="W41" s="83"/>
      <c r="X41" s="83"/>
      <c r="Y41" s="83"/>
      <c r="Z41" s="83"/>
      <c r="AA41" s="83"/>
      <c r="AB41" s="83"/>
      <c r="AC41" s="81"/>
    </row>
    <row r="42" spans="1:35" s="12" customFormat="1" ht="13" customHeight="1" x14ac:dyDescent="0.2">
      <c r="B42" s="75"/>
      <c r="C42" s="82">
        <v>3</v>
      </c>
      <c r="D42" s="94"/>
      <c r="E42" s="106"/>
      <c r="F42" s="235"/>
      <c r="G42" s="236"/>
      <c r="H42" s="236"/>
      <c r="I42" s="236"/>
      <c r="J42" s="236"/>
      <c r="K42" s="237"/>
      <c r="L42" s="76"/>
      <c r="M42" s="223"/>
      <c r="N42" s="224"/>
      <c r="O42" s="224"/>
      <c r="P42" s="225"/>
      <c r="Q42" s="76"/>
      <c r="R42" s="95"/>
      <c r="S42" s="76"/>
      <c r="T42" s="95"/>
      <c r="U42" s="76"/>
      <c r="V42" s="76"/>
      <c r="W42" s="95"/>
      <c r="X42" s="76"/>
      <c r="Y42" s="95"/>
      <c r="Z42" s="107"/>
      <c r="AA42" s="223"/>
      <c r="AB42" s="225"/>
      <c r="AC42" s="81"/>
      <c r="AF42" s="13"/>
      <c r="AG42" s="13"/>
    </row>
    <row r="43" spans="1:35" s="12" customFormat="1" ht="2" customHeight="1" x14ac:dyDescent="0.2">
      <c r="B43" s="75"/>
      <c r="C43" s="83"/>
      <c r="D43" s="83"/>
      <c r="E43" s="83"/>
      <c r="F43" s="83"/>
      <c r="G43" s="83"/>
      <c r="H43" s="83"/>
      <c r="I43" s="83"/>
      <c r="J43" s="83"/>
      <c r="K43" s="83"/>
      <c r="L43" s="83"/>
      <c r="M43" s="83"/>
      <c r="N43" s="83"/>
      <c r="O43" s="83"/>
      <c r="P43" s="83"/>
      <c r="Q43" s="83"/>
      <c r="R43" s="83"/>
      <c r="S43" s="83"/>
      <c r="T43" s="83"/>
      <c r="U43" s="83"/>
      <c r="V43" s="83"/>
      <c r="W43" s="83"/>
      <c r="X43" s="83"/>
      <c r="Y43" s="83"/>
      <c r="Z43" s="83"/>
      <c r="AA43" s="83"/>
      <c r="AB43" s="83"/>
      <c r="AC43" s="81"/>
      <c r="AD43" s="34"/>
    </row>
    <row r="44" spans="1:35" s="12" customFormat="1" ht="13" customHeight="1" x14ac:dyDescent="0.2">
      <c r="B44" s="109"/>
      <c r="C44" s="82">
        <v>4</v>
      </c>
      <c r="D44" s="94"/>
      <c r="E44" s="106"/>
      <c r="F44" s="235"/>
      <c r="G44" s="236"/>
      <c r="H44" s="236"/>
      <c r="I44" s="236"/>
      <c r="J44" s="236"/>
      <c r="K44" s="237"/>
      <c r="L44" s="76"/>
      <c r="M44" s="223"/>
      <c r="N44" s="224"/>
      <c r="O44" s="224"/>
      <c r="P44" s="225"/>
      <c r="Q44" s="76"/>
      <c r="R44" s="95"/>
      <c r="S44" s="76"/>
      <c r="T44" s="110"/>
      <c r="U44" s="83"/>
      <c r="V44" s="83"/>
      <c r="W44" s="110"/>
      <c r="X44" s="83"/>
      <c r="Y44" s="95"/>
      <c r="Z44" s="107"/>
      <c r="AA44" s="223"/>
      <c r="AB44" s="225"/>
      <c r="AC44" s="81"/>
      <c r="AD44" s="34"/>
    </row>
    <row r="45" spans="1:35" s="12" customFormat="1" ht="2" customHeight="1" x14ac:dyDescent="0.2">
      <c r="A45" s="34"/>
      <c r="B45" s="109"/>
      <c r="C45" s="82"/>
      <c r="D45" s="76"/>
      <c r="E45" s="76"/>
      <c r="F45" s="111"/>
      <c r="G45" s="82"/>
      <c r="H45" s="82"/>
      <c r="I45" s="102"/>
      <c r="J45" s="102"/>
      <c r="K45" s="102"/>
      <c r="L45" s="102"/>
      <c r="M45" s="102"/>
      <c r="N45" s="102"/>
      <c r="O45" s="102"/>
      <c r="P45" s="82"/>
      <c r="Q45" s="102"/>
      <c r="R45" s="102"/>
      <c r="S45" s="102"/>
      <c r="T45" s="82"/>
      <c r="U45" s="102"/>
      <c r="V45" s="102"/>
      <c r="W45" s="102"/>
      <c r="X45" s="82"/>
      <c r="Y45" s="82"/>
      <c r="Z45" s="82"/>
      <c r="AA45" s="82"/>
      <c r="AB45" s="82"/>
      <c r="AC45" s="81"/>
      <c r="AE45" s="34"/>
    </row>
    <row r="46" spans="1:35" s="12" customFormat="1" ht="13" customHeight="1" x14ac:dyDescent="0.2">
      <c r="A46" s="34"/>
      <c r="B46" s="109"/>
      <c r="C46" s="82">
        <v>5</v>
      </c>
      <c r="D46" s="94"/>
      <c r="E46" s="106"/>
      <c r="F46" s="235"/>
      <c r="G46" s="236"/>
      <c r="H46" s="236"/>
      <c r="I46" s="236"/>
      <c r="J46" s="236"/>
      <c r="K46" s="237"/>
      <c r="L46" s="76"/>
      <c r="M46" s="223"/>
      <c r="N46" s="224"/>
      <c r="O46" s="224"/>
      <c r="P46" s="225"/>
      <c r="Q46" s="76"/>
      <c r="R46" s="95"/>
      <c r="S46" s="76"/>
      <c r="T46" s="95"/>
      <c r="U46" s="76"/>
      <c r="V46" s="76"/>
      <c r="W46" s="95"/>
      <c r="X46" s="76"/>
      <c r="Y46" s="95"/>
      <c r="Z46" s="107"/>
      <c r="AA46" s="223"/>
      <c r="AB46" s="225"/>
      <c r="AC46" s="81"/>
      <c r="AE46" s="34"/>
    </row>
    <row r="47" spans="1:35" s="19" customFormat="1" ht="2" customHeight="1" x14ac:dyDescent="0.2">
      <c r="A47" s="12"/>
      <c r="B47" s="109"/>
      <c r="C47" s="82"/>
      <c r="D47" s="89"/>
      <c r="E47" s="89"/>
      <c r="F47" s="76"/>
      <c r="G47" s="82"/>
      <c r="H47" s="82"/>
      <c r="I47" s="102"/>
      <c r="J47" s="102"/>
      <c r="K47" s="102"/>
      <c r="L47" s="102"/>
      <c r="M47" s="102"/>
      <c r="N47" s="102"/>
      <c r="O47" s="102"/>
      <c r="P47" s="102"/>
      <c r="Q47" s="112"/>
      <c r="R47" s="113"/>
      <c r="S47" s="113"/>
      <c r="T47" s="113"/>
      <c r="U47" s="113"/>
      <c r="V47" s="113"/>
      <c r="W47" s="113"/>
      <c r="X47" s="114"/>
      <c r="Y47" s="115"/>
      <c r="Z47" s="115"/>
      <c r="AA47" s="115"/>
      <c r="AB47" s="115"/>
      <c r="AC47" s="81"/>
      <c r="AD47" s="12"/>
      <c r="AE47" s="12"/>
    </row>
    <row r="48" spans="1:35" s="19" customFormat="1" ht="13" customHeight="1" x14ac:dyDescent="0.2">
      <c r="A48" s="12"/>
      <c r="B48" s="109"/>
      <c r="C48" s="82">
        <v>6</v>
      </c>
      <c r="D48" s="94"/>
      <c r="E48" s="106"/>
      <c r="F48" s="235"/>
      <c r="G48" s="236"/>
      <c r="H48" s="236"/>
      <c r="I48" s="236"/>
      <c r="J48" s="236"/>
      <c r="K48" s="237"/>
      <c r="L48" s="76"/>
      <c r="M48" s="223"/>
      <c r="N48" s="224"/>
      <c r="O48" s="224"/>
      <c r="P48" s="225"/>
      <c r="Q48" s="76"/>
      <c r="R48" s="95"/>
      <c r="S48" s="76"/>
      <c r="T48" s="95"/>
      <c r="U48" s="76"/>
      <c r="V48" s="76"/>
      <c r="W48" s="95"/>
      <c r="X48" s="76"/>
      <c r="Y48" s="95"/>
      <c r="Z48" s="107"/>
      <c r="AA48" s="223"/>
      <c r="AB48" s="225"/>
      <c r="AC48" s="81"/>
      <c r="AD48" s="12"/>
      <c r="AE48" s="12"/>
    </row>
    <row r="49" spans="1:31" s="19" customFormat="1" ht="2" customHeight="1" x14ac:dyDescent="0.2">
      <c r="A49" s="12"/>
      <c r="B49" s="109"/>
      <c r="C49" s="82"/>
      <c r="D49" s="89"/>
      <c r="E49" s="89"/>
      <c r="F49" s="76"/>
      <c r="G49" s="82"/>
      <c r="H49" s="82"/>
      <c r="I49" s="102"/>
      <c r="J49" s="102"/>
      <c r="K49" s="102"/>
      <c r="L49" s="102"/>
      <c r="M49" s="102"/>
      <c r="N49" s="102"/>
      <c r="O49" s="102"/>
      <c r="P49" s="102"/>
      <c r="Q49" s="102"/>
      <c r="R49" s="102"/>
      <c r="S49" s="102"/>
      <c r="T49" s="102"/>
      <c r="U49" s="102"/>
      <c r="V49" s="116"/>
      <c r="W49" s="115"/>
      <c r="X49" s="115"/>
      <c r="Y49" s="115"/>
      <c r="Z49" s="115"/>
      <c r="AA49" s="115"/>
      <c r="AB49" s="115"/>
      <c r="AC49" s="81"/>
      <c r="AD49" s="12"/>
      <c r="AE49" s="12"/>
    </row>
    <row r="50" spans="1:31" s="19" customFormat="1" ht="13" customHeight="1" x14ac:dyDescent="0.2">
      <c r="A50" s="12"/>
      <c r="B50" s="109"/>
      <c r="C50" s="82">
        <v>7</v>
      </c>
      <c r="D50" s="94"/>
      <c r="E50" s="106"/>
      <c r="F50" s="235"/>
      <c r="G50" s="236"/>
      <c r="H50" s="236"/>
      <c r="I50" s="236"/>
      <c r="J50" s="236"/>
      <c r="K50" s="237"/>
      <c r="L50" s="76"/>
      <c r="M50" s="223"/>
      <c r="N50" s="224"/>
      <c r="O50" s="224"/>
      <c r="P50" s="225"/>
      <c r="Q50" s="76"/>
      <c r="R50" s="95"/>
      <c r="S50" s="76"/>
      <c r="T50" s="95"/>
      <c r="U50" s="76"/>
      <c r="V50" s="76"/>
      <c r="W50" s="95"/>
      <c r="X50" s="76"/>
      <c r="Y50" s="95"/>
      <c r="Z50" s="107"/>
      <c r="AA50" s="223"/>
      <c r="AB50" s="225"/>
      <c r="AC50" s="81"/>
      <c r="AD50" s="12"/>
      <c r="AE50" s="12"/>
    </row>
    <row r="51" spans="1:31" s="19" customFormat="1" ht="2" customHeight="1" x14ac:dyDescent="0.2">
      <c r="A51" s="12"/>
      <c r="B51" s="109"/>
      <c r="C51" s="82"/>
      <c r="D51" s="89"/>
      <c r="E51" s="89"/>
      <c r="F51" s="76"/>
      <c r="G51" s="82"/>
      <c r="H51" s="82"/>
      <c r="I51" s="102"/>
      <c r="J51" s="102"/>
      <c r="K51" s="102"/>
      <c r="L51" s="102"/>
      <c r="M51" s="102"/>
      <c r="N51" s="102"/>
      <c r="O51" s="102"/>
      <c r="P51" s="102"/>
      <c r="Q51" s="102"/>
      <c r="R51" s="102"/>
      <c r="S51" s="102"/>
      <c r="T51" s="102"/>
      <c r="U51" s="102"/>
      <c r="V51" s="116"/>
      <c r="W51" s="115"/>
      <c r="X51" s="115"/>
      <c r="Y51" s="115"/>
      <c r="Z51" s="115"/>
      <c r="AA51" s="115"/>
      <c r="AB51" s="115"/>
      <c r="AC51" s="81"/>
      <c r="AD51" s="12"/>
      <c r="AE51" s="12"/>
    </row>
    <row r="52" spans="1:31" s="19" customFormat="1" ht="13" customHeight="1" x14ac:dyDescent="0.2">
      <c r="A52" s="12"/>
      <c r="B52" s="109"/>
      <c r="C52" s="82">
        <v>8</v>
      </c>
      <c r="D52" s="94"/>
      <c r="E52" s="106"/>
      <c r="F52" s="235"/>
      <c r="G52" s="236"/>
      <c r="H52" s="236"/>
      <c r="I52" s="236"/>
      <c r="J52" s="236"/>
      <c r="K52" s="237"/>
      <c r="L52" s="76"/>
      <c r="M52" s="223"/>
      <c r="N52" s="224"/>
      <c r="O52" s="224"/>
      <c r="P52" s="225"/>
      <c r="Q52" s="76"/>
      <c r="R52" s="95"/>
      <c r="S52" s="76"/>
      <c r="T52" s="95"/>
      <c r="U52" s="76"/>
      <c r="V52" s="76"/>
      <c r="W52" s="95"/>
      <c r="X52" s="76"/>
      <c r="Y52" s="95"/>
      <c r="Z52" s="107"/>
      <c r="AA52" s="223"/>
      <c r="AB52" s="225"/>
      <c r="AC52" s="81"/>
      <c r="AD52" s="12"/>
      <c r="AE52" s="12"/>
    </row>
    <row r="53" spans="1:31" s="19" customFormat="1" ht="2" customHeight="1" x14ac:dyDescent="0.2">
      <c r="A53" s="12"/>
      <c r="B53" s="109"/>
      <c r="C53" s="82"/>
      <c r="D53" s="89"/>
      <c r="E53" s="89"/>
      <c r="F53" s="76"/>
      <c r="G53" s="82"/>
      <c r="H53" s="82"/>
      <c r="I53" s="102"/>
      <c r="J53" s="102"/>
      <c r="K53" s="102"/>
      <c r="L53" s="102"/>
      <c r="M53" s="102"/>
      <c r="N53" s="102"/>
      <c r="O53" s="102"/>
      <c r="P53" s="102"/>
      <c r="Q53" s="102"/>
      <c r="R53" s="102"/>
      <c r="S53" s="102"/>
      <c r="T53" s="102"/>
      <c r="U53" s="102"/>
      <c r="V53" s="116"/>
      <c r="W53" s="115"/>
      <c r="X53" s="115"/>
      <c r="Y53" s="115"/>
      <c r="Z53" s="115"/>
      <c r="AA53" s="115"/>
      <c r="AB53" s="115"/>
      <c r="AC53" s="81"/>
      <c r="AD53" s="12"/>
      <c r="AE53" s="12"/>
    </row>
    <row r="54" spans="1:31" s="19" customFormat="1" ht="13" customHeight="1" x14ac:dyDescent="0.2">
      <c r="A54" s="12"/>
      <c r="B54" s="109"/>
      <c r="C54" s="82">
        <v>9</v>
      </c>
      <c r="D54" s="94"/>
      <c r="E54" s="106"/>
      <c r="F54" s="235"/>
      <c r="G54" s="236"/>
      <c r="H54" s="236"/>
      <c r="I54" s="236"/>
      <c r="J54" s="236"/>
      <c r="K54" s="237"/>
      <c r="L54" s="76"/>
      <c r="M54" s="223"/>
      <c r="N54" s="224"/>
      <c r="O54" s="224"/>
      <c r="P54" s="225"/>
      <c r="Q54" s="76"/>
      <c r="R54" s="95"/>
      <c r="S54" s="76"/>
      <c r="T54" s="95"/>
      <c r="U54" s="76"/>
      <c r="V54" s="76"/>
      <c r="W54" s="95"/>
      <c r="X54" s="76"/>
      <c r="Y54" s="95"/>
      <c r="Z54" s="107"/>
      <c r="AA54" s="223"/>
      <c r="AB54" s="225"/>
      <c r="AC54" s="81"/>
      <c r="AD54" s="12"/>
      <c r="AE54" s="12"/>
    </row>
    <row r="55" spans="1:31" s="19" customFormat="1" ht="2" customHeight="1" x14ac:dyDescent="0.2">
      <c r="A55" s="12"/>
      <c r="B55" s="109"/>
      <c r="C55" s="82"/>
      <c r="D55" s="106"/>
      <c r="E55" s="106"/>
      <c r="F55" s="117"/>
      <c r="G55" s="117"/>
      <c r="H55" s="117"/>
      <c r="I55" s="117"/>
      <c r="J55" s="117"/>
      <c r="K55" s="117"/>
      <c r="L55" s="76"/>
      <c r="M55" s="107"/>
      <c r="N55" s="107"/>
      <c r="O55" s="107"/>
      <c r="P55" s="107"/>
      <c r="Q55" s="76"/>
      <c r="R55" s="76"/>
      <c r="S55" s="76"/>
      <c r="T55" s="76"/>
      <c r="U55" s="76"/>
      <c r="V55" s="76"/>
      <c r="W55" s="76"/>
      <c r="X55" s="76"/>
      <c r="Y55" s="76"/>
      <c r="Z55" s="107"/>
      <c r="AA55" s="107"/>
      <c r="AB55" s="107"/>
      <c r="AC55" s="81"/>
      <c r="AD55" s="12"/>
      <c r="AE55" s="12"/>
    </row>
    <row r="56" spans="1:31" s="19" customFormat="1" ht="13" customHeight="1" x14ac:dyDescent="0.2">
      <c r="A56" s="12"/>
      <c r="B56" s="109"/>
      <c r="C56" s="82">
        <v>10</v>
      </c>
      <c r="D56" s="94"/>
      <c r="E56" s="106"/>
      <c r="F56" s="235"/>
      <c r="G56" s="236"/>
      <c r="H56" s="236"/>
      <c r="I56" s="236"/>
      <c r="J56" s="236"/>
      <c r="K56" s="237"/>
      <c r="L56" s="76"/>
      <c r="M56" s="223"/>
      <c r="N56" s="224"/>
      <c r="O56" s="224"/>
      <c r="P56" s="225"/>
      <c r="Q56" s="76"/>
      <c r="R56" s="95"/>
      <c r="S56" s="76"/>
      <c r="T56" s="95"/>
      <c r="U56" s="76"/>
      <c r="V56" s="76"/>
      <c r="W56" s="95"/>
      <c r="X56" s="76"/>
      <c r="Y56" s="95"/>
      <c r="Z56" s="107"/>
      <c r="AA56" s="223"/>
      <c r="AB56" s="225"/>
      <c r="AC56" s="81"/>
      <c r="AD56" s="12"/>
      <c r="AE56" s="12"/>
    </row>
    <row r="57" spans="1:31" s="19" customFormat="1" ht="2" customHeight="1" x14ac:dyDescent="0.2">
      <c r="A57" s="12"/>
      <c r="B57" s="109"/>
      <c r="C57" s="82"/>
      <c r="D57" s="106"/>
      <c r="E57" s="106"/>
      <c r="F57" s="117"/>
      <c r="G57" s="117"/>
      <c r="H57" s="117"/>
      <c r="I57" s="117"/>
      <c r="J57" s="117"/>
      <c r="K57" s="117"/>
      <c r="L57" s="76"/>
      <c r="M57" s="107"/>
      <c r="N57" s="107"/>
      <c r="O57" s="107"/>
      <c r="P57" s="107"/>
      <c r="Q57" s="76"/>
      <c r="R57" s="76"/>
      <c r="S57" s="76"/>
      <c r="T57" s="76"/>
      <c r="U57" s="76"/>
      <c r="V57" s="76"/>
      <c r="W57" s="76"/>
      <c r="X57" s="76"/>
      <c r="Y57" s="76"/>
      <c r="Z57" s="107"/>
      <c r="AA57" s="107"/>
      <c r="AB57" s="107"/>
      <c r="AC57" s="81"/>
      <c r="AD57" s="12"/>
      <c r="AE57" s="12"/>
    </row>
    <row r="58" spans="1:31" s="19" customFormat="1" ht="13" customHeight="1" x14ac:dyDescent="0.2">
      <c r="A58" s="12"/>
      <c r="B58" s="109"/>
      <c r="C58" s="82">
        <v>11</v>
      </c>
      <c r="D58" s="94"/>
      <c r="E58" s="106"/>
      <c r="F58" s="235"/>
      <c r="G58" s="236"/>
      <c r="H58" s="236"/>
      <c r="I58" s="236"/>
      <c r="J58" s="236"/>
      <c r="K58" s="237"/>
      <c r="L58" s="76"/>
      <c r="M58" s="223"/>
      <c r="N58" s="224"/>
      <c r="O58" s="224"/>
      <c r="P58" s="225"/>
      <c r="Q58" s="76"/>
      <c r="R58" s="95"/>
      <c r="S58" s="76"/>
      <c r="T58" s="95"/>
      <c r="U58" s="76"/>
      <c r="V58" s="76"/>
      <c r="W58" s="95"/>
      <c r="X58" s="76"/>
      <c r="Y58" s="95"/>
      <c r="Z58" s="107"/>
      <c r="AA58" s="223"/>
      <c r="AB58" s="225"/>
      <c r="AC58" s="81"/>
      <c r="AD58" s="12"/>
      <c r="AE58" s="12"/>
    </row>
    <row r="59" spans="1:31" s="19" customFormat="1" ht="2" customHeight="1" x14ac:dyDescent="0.2">
      <c r="A59" s="12"/>
      <c r="B59" s="109"/>
      <c r="C59" s="82"/>
      <c r="D59" s="106"/>
      <c r="E59" s="106"/>
      <c r="F59" s="117"/>
      <c r="G59" s="117"/>
      <c r="H59" s="117"/>
      <c r="I59" s="117"/>
      <c r="J59" s="117"/>
      <c r="K59" s="117"/>
      <c r="L59" s="76"/>
      <c r="M59" s="107"/>
      <c r="N59" s="107"/>
      <c r="O59" s="107"/>
      <c r="P59" s="107"/>
      <c r="Q59" s="76"/>
      <c r="R59" s="76"/>
      <c r="S59" s="76"/>
      <c r="T59" s="76"/>
      <c r="U59" s="76"/>
      <c r="V59" s="76"/>
      <c r="W59" s="76"/>
      <c r="X59" s="76"/>
      <c r="Y59" s="76"/>
      <c r="Z59" s="107"/>
      <c r="AA59" s="107"/>
      <c r="AB59" s="107"/>
      <c r="AC59" s="81"/>
      <c r="AD59" s="12"/>
      <c r="AE59" s="12"/>
    </row>
    <row r="60" spans="1:31" s="19" customFormat="1" ht="13" customHeight="1" x14ac:dyDescent="0.2">
      <c r="A60" s="12"/>
      <c r="B60" s="109"/>
      <c r="C60" s="82">
        <v>12</v>
      </c>
      <c r="D60" s="94"/>
      <c r="E60" s="106"/>
      <c r="F60" s="235"/>
      <c r="G60" s="236"/>
      <c r="H60" s="236"/>
      <c r="I60" s="236"/>
      <c r="J60" s="236"/>
      <c r="K60" s="237"/>
      <c r="L60" s="76"/>
      <c r="M60" s="223"/>
      <c r="N60" s="224"/>
      <c r="O60" s="224"/>
      <c r="P60" s="225"/>
      <c r="Q60" s="76"/>
      <c r="R60" s="95"/>
      <c r="S60" s="76"/>
      <c r="T60" s="95"/>
      <c r="U60" s="76"/>
      <c r="V60" s="76"/>
      <c r="W60" s="95"/>
      <c r="X60" s="76"/>
      <c r="Y60" s="95"/>
      <c r="Z60" s="107"/>
      <c r="AA60" s="223"/>
      <c r="AB60" s="225"/>
      <c r="AC60" s="81"/>
      <c r="AD60" s="12"/>
      <c r="AE60" s="12"/>
    </row>
    <row r="61" spans="1:31" s="19" customFormat="1" ht="2" customHeight="1" x14ac:dyDescent="0.2">
      <c r="A61" s="12"/>
      <c r="B61" s="109"/>
      <c r="C61" s="82"/>
      <c r="D61" s="106"/>
      <c r="E61" s="106"/>
      <c r="F61" s="117"/>
      <c r="G61" s="117"/>
      <c r="H61" s="117"/>
      <c r="I61" s="117"/>
      <c r="J61" s="117"/>
      <c r="K61" s="117"/>
      <c r="L61" s="76"/>
      <c r="M61" s="107"/>
      <c r="N61" s="107"/>
      <c r="O61" s="107"/>
      <c r="P61" s="107"/>
      <c r="Q61" s="76"/>
      <c r="R61" s="76"/>
      <c r="S61" s="76"/>
      <c r="T61" s="76"/>
      <c r="U61" s="76"/>
      <c r="V61" s="76"/>
      <c r="W61" s="76"/>
      <c r="X61" s="76"/>
      <c r="Y61" s="76"/>
      <c r="Z61" s="107"/>
      <c r="AA61" s="107"/>
      <c r="AB61" s="107"/>
      <c r="AC61" s="81"/>
      <c r="AD61" s="12"/>
      <c r="AE61" s="12"/>
    </row>
    <row r="62" spans="1:31" s="19" customFormat="1" ht="13" customHeight="1" x14ac:dyDescent="0.2">
      <c r="A62" s="12"/>
      <c r="B62" s="109"/>
      <c r="C62" s="82">
        <v>13</v>
      </c>
      <c r="D62" s="94"/>
      <c r="E62" s="106"/>
      <c r="F62" s="235"/>
      <c r="G62" s="236"/>
      <c r="H62" s="236"/>
      <c r="I62" s="236"/>
      <c r="J62" s="236"/>
      <c r="K62" s="237"/>
      <c r="L62" s="76"/>
      <c r="M62" s="223"/>
      <c r="N62" s="224"/>
      <c r="O62" s="224"/>
      <c r="P62" s="225"/>
      <c r="Q62" s="76"/>
      <c r="R62" s="95"/>
      <c r="S62" s="76"/>
      <c r="T62" s="95"/>
      <c r="U62" s="76"/>
      <c r="V62" s="76"/>
      <c r="W62" s="95"/>
      <c r="X62" s="76"/>
      <c r="Y62" s="95"/>
      <c r="Z62" s="107"/>
      <c r="AA62" s="223"/>
      <c r="AB62" s="225"/>
      <c r="AC62" s="81"/>
      <c r="AD62" s="12"/>
      <c r="AE62" s="12"/>
    </row>
    <row r="63" spans="1:31" s="19" customFormat="1" ht="2" customHeight="1" x14ac:dyDescent="0.2">
      <c r="A63" s="12"/>
      <c r="B63" s="109"/>
      <c r="C63" s="82"/>
      <c r="D63" s="106"/>
      <c r="E63" s="106"/>
      <c r="F63" s="117"/>
      <c r="G63" s="117"/>
      <c r="H63" s="117"/>
      <c r="I63" s="117"/>
      <c r="J63" s="117"/>
      <c r="K63" s="117"/>
      <c r="L63" s="76"/>
      <c r="M63" s="107"/>
      <c r="N63" s="107"/>
      <c r="O63" s="107"/>
      <c r="P63" s="107"/>
      <c r="Q63" s="76"/>
      <c r="R63" s="76"/>
      <c r="S63" s="76"/>
      <c r="T63" s="76"/>
      <c r="U63" s="76"/>
      <c r="V63" s="76"/>
      <c r="W63" s="76"/>
      <c r="X63" s="76"/>
      <c r="Y63" s="76"/>
      <c r="Z63" s="107"/>
      <c r="AA63" s="107"/>
      <c r="AB63" s="107"/>
      <c r="AC63" s="81"/>
      <c r="AD63" s="12"/>
      <c r="AE63" s="12"/>
    </row>
    <row r="64" spans="1:31" s="19" customFormat="1" ht="13" customHeight="1" x14ac:dyDescent="0.2">
      <c r="A64" s="12"/>
      <c r="B64" s="109"/>
      <c r="C64" s="82">
        <v>14</v>
      </c>
      <c r="D64" s="94"/>
      <c r="E64" s="106"/>
      <c r="F64" s="235"/>
      <c r="G64" s="236"/>
      <c r="H64" s="236"/>
      <c r="I64" s="236"/>
      <c r="J64" s="236"/>
      <c r="K64" s="237"/>
      <c r="L64" s="76"/>
      <c r="M64" s="223"/>
      <c r="N64" s="224"/>
      <c r="O64" s="224"/>
      <c r="P64" s="225"/>
      <c r="Q64" s="76"/>
      <c r="R64" s="95"/>
      <c r="S64" s="76"/>
      <c r="T64" s="95"/>
      <c r="U64" s="76"/>
      <c r="V64" s="76"/>
      <c r="W64" s="95"/>
      <c r="X64" s="76"/>
      <c r="Y64" s="95"/>
      <c r="Z64" s="107"/>
      <c r="AA64" s="223"/>
      <c r="AB64" s="225"/>
      <c r="AC64" s="81"/>
      <c r="AD64" s="12"/>
      <c r="AE64" s="12"/>
    </row>
    <row r="65" spans="1:38" s="19" customFormat="1" ht="2" customHeight="1" x14ac:dyDescent="0.2">
      <c r="A65" s="12"/>
      <c r="B65" s="109"/>
      <c r="C65" s="82"/>
      <c r="D65" s="106"/>
      <c r="E65" s="106"/>
      <c r="F65" s="117"/>
      <c r="G65" s="117"/>
      <c r="H65" s="117"/>
      <c r="I65" s="117"/>
      <c r="J65" s="117"/>
      <c r="K65" s="117"/>
      <c r="L65" s="76"/>
      <c r="M65" s="107"/>
      <c r="N65" s="107"/>
      <c r="O65" s="107"/>
      <c r="P65" s="107"/>
      <c r="Q65" s="76"/>
      <c r="R65" s="76"/>
      <c r="S65" s="76"/>
      <c r="T65" s="76"/>
      <c r="U65" s="76"/>
      <c r="V65" s="76"/>
      <c r="W65" s="76"/>
      <c r="X65" s="76"/>
      <c r="Y65" s="76"/>
      <c r="Z65" s="107"/>
      <c r="AA65" s="107"/>
      <c r="AB65" s="107"/>
      <c r="AC65" s="81"/>
      <c r="AD65" s="12"/>
      <c r="AE65" s="12"/>
    </row>
    <row r="66" spans="1:38" s="19" customFormat="1" ht="13" customHeight="1" x14ac:dyDescent="0.2">
      <c r="A66" s="12"/>
      <c r="B66" s="109"/>
      <c r="C66" s="82">
        <v>15</v>
      </c>
      <c r="D66" s="94"/>
      <c r="E66" s="106"/>
      <c r="F66" s="235"/>
      <c r="G66" s="236"/>
      <c r="H66" s="236"/>
      <c r="I66" s="236"/>
      <c r="J66" s="236"/>
      <c r="K66" s="237"/>
      <c r="L66" s="76"/>
      <c r="M66" s="223"/>
      <c r="N66" s="224"/>
      <c r="O66" s="224"/>
      <c r="P66" s="225"/>
      <c r="Q66" s="76"/>
      <c r="R66" s="95"/>
      <c r="S66" s="76"/>
      <c r="T66" s="95"/>
      <c r="U66" s="76"/>
      <c r="V66" s="76"/>
      <c r="W66" s="95"/>
      <c r="X66" s="76"/>
      <c r="Y66" s="95"/>
      <c r="Z66" s="107"/>
      <c r="AA66" s="223"/>
      <c r="AB66" s="225"/>
      <c r="AC66" s="81"/>
      <c r="AD66" s="12"/>
      <c r="AE66" s="12"/>
    </row>
    <row r="67" spans="1:38" s="19" customFormat="1" ht="2" customHeight="1" x14ac:dyDescent="0.2">
      <c r="A67" s="12"/>
      <c r="B67" s="109"/>
      <c r="C67" s="82"/>
      <c r="D67" s="82"/>
      <c r="E67" s="82"/>
      <c r="F67" s="82"/>
      <c r="G67" s="82"/>
      <c r="H67" s="82"/>
      <c r="I67" s="82"/>
      <c r="J67" s="82"/>
      <c r="K67" s="82"/>
      <c r="L67" s="82"/>
      <c r="M67" s="82"/>
      <c r="N67" s="82"/>
      <c r="O67" s="82"/>
      <c r="P67" s="82"/>
      <c r="Q67" s="82"/>
      <c r="R67" s="82"/>
      <c r="S67" s="82"/>
      <c r="T67" s="82"/>
      <c r="U67" s="82"/>
      <c r="V67" s="82"/>
      <c r="W67" s="82"/>
      <c r="X67" s="82"/>
      <c r="Y67" s="82"/>
      <c r="Z67" s="82"/>
      <c r="AA67" s="82"/>
      <c r="AB67" s="82"/>
      <c r="AC67" s="81"/>
      <c r="AD67" s="12"/>
      <c r="AE67" s="12"/>
    </row>
    <row r="68" spans="1:38" s="19" customFormat="1" ht="14" customHeight="1" x14ac:dyDescent="0.15">
      <c r="A68" s="12"/>
      <c r="B68" s="109"/>
      <c r="C68" s="82" t="s">
        <v>46</v>
      </c>
      <c r="D68" s="246" t="str">
        <f>IF(SUM(D38:D67)&gt;0, SUM(D38:D67), "")</f>
        <v/>
      </c>
      <c r="E68" s="247"/>
      <c r="F68" s="247"/>
      <c r="G68" s="248"/>
      <c r="H68" s="104"/>
      <c r="I68" s="104" t="s">
        <v>47</v>
      </c>
      <c r="J68" s="104"/>
      <c r="K68" s="104"/>
      <c r="L68" s="76"/>
      <c r="M68" s="76"/>
      <c r="N68" s="76"/>
      <c r="O68" s="76"/>
      <c r="P68" s="76"/>
      <c r="Q68" s="104"/>
      <c r="R68" s="104"/>
      <c r="S68" s="104"/>
      <c r="T68" s="118"/>
      <c r="U68" s="104"/>
      <c r="V68" s="104"/>
      <c r="W68" s="104"/>
      <c r="X68" s="104"/>
      <c r="Y68" s="104"/>
      <c r="Z68" s="104"/>
      <c r="AA68" s="104"/>
      <c r="AB68" s="104"/>
      <c r="AC68" s="81"/>
      <c r="AD68" s="12"/>
      <c r="AE68" s="12"/>
      <c r="AF68" s="27" t="s">
        <v>41</v>
      </c>
      <c r="AG68" s="27" t="s">
        <v>42</v>
      </c>
      <c r="AH68" s="27" t="s">
        <v>44</v>
      </c>
      <c r="AI68" s="27" t="s">
        <v>45</v>
      </c>
    </row>
    <row r="69" spans="1:38" s="12" customFormat="1" ht="3" customHeight="1" x14ac:dyDescent="0.2">
      <c r="B69" s="75"/>
      <c r="C69" s="111"/>
      <c r="D69" s="111"/>
      <c r="E69" s="111"/>
      <c r="F69" s="111"/>
      <c r="G69" s="111"/>
      <c r="H69" s="82"/>
      <c r="I69" s="111"/>
      <c r="J69" s="111"/>
      <c r="K69" s="111"/>
      <c r="L69" s="111"/>
      <c r="M69" s="111"/>
      <c r="N69" s="111"/>
      <c r="O69" s="111"/>
      <c r="P69" s="89"/>
      <c r="Q69" s="76"/>
      <c r="R69" s="118"/>
      <c r="S69" s="118"/>
      <c r="T69" s="76"/>
      <c r="U69" s="118"/>
      <c r="V69" s="82"/>
      <c r="W69" s="82"/>
      <c r="X69" s="82"/>
      <c r="Y69" s="82"/>
      <c r="Z69" s="82"/>
      <c r="AA69" s="82"/>
      <c r="AB69" s="82"/>
      <c r="AC69" s="81"/>
    </row>
    <row r="70" spans="1:38" s="19" customFormat="1" ht="14" customHeight="1" x14ac:dyDescent="0.15">
      <c r="A70" s="12"/>
      <c r="B70" s="75"/>
      <c r="C70" s="119" t="s">
        <v>227</v>
      </c>
      <c r="D70" s="76"/>
      <c r="E70" s="111"/>
      <c r="F70" s="111"/>
      <c r="G70" s="111"/>
      <c r="H70" s="82"/>
      <c r="I70" s="111"/>
      <c r="J70" s="111"/>
      <c r="K70" s="102"/>
      <c r="L70" s="89"/>
      <c r="M70" s="82" t="s">
        <v>36</v>
      </c>
      <c r="N70" s="82"/>
      <c r="O70" s="82"/>
      <c r="P70" s="82"/>
      <c r="Q70" s="82"/>
      <c r="R70" s="82"/>
      <c r="S70" s="82"/>
      <c r="T70" s="102"/>
      <c r="U70" s="116"/>
      <c r="V70" s="115"/>
      <c r="W70" s="115"/>
      <c r="X70" s="115"/>
      <c r="Y70" s="115"/>
      <c r="Z70" s="115"/>
      <c r="AA70" s="190" t="b">
        <v>0</v>
      </c>
      <c r="AB70" s="190" t="b">
        <v>0</v>
      </c>
      <c r="AC70" s="81"/>
      <c r="AD70" s="12"/>
      <c r="AE70" s="12"/>
      <c r="AF70" s="13" t="b">
        <v>0</v>
      </c>
      <c r="AG70" s="33"/>
      <c r="AH70" s="13"/>
      <c r="AI70" s="12"/>
      <c r="AJ70" s="12"/>
    </row>
    <row r="71" spans="1:38" s="19" customFormat="1" ht="6" customHeight="1" x14ac:dyDescent="0.2">
      <c r="A71" s="12"/>
      <c r="B71" s="75"/>
      <c r="C71" s="76"/>
      <c r="D71" s="76"/>
      <c r="E71" s="76"/>
      <c r="F71" s="111"/>
      <c r="G71" s="82"/>
      <c r="H71" s="82"/>
      <c r="I71" s="120"/>
      <c r="J71" s="76"/>
      <c r="K71" s="102"/>
      <c r="L71" s="89"/>
      <c r="M71" s="82"/>
      <c r="N71" s="82"/>
      <c r="O71" s="82"/>
      <c r="P71" s="82"/>
      <c r="Q71" s="82"/>
      <c r="R71" s="82"/>
      <c r="S71" s="82"/>
      <c r="T71" s="102"/>
      <c r="U71" s="116"/>
      <c r="V71" s="115"/>
      <c r="W71" s="115"/>
      <c r="X71" s="115"/>
      <c r="Y71" s="115"/>
      <c r="Z71" s="115"/>
      <c r="AA71" s="115"/>
      <c r="AB71" s="115"/>
      <c r="AC71" s="81"/>
      <c r="AD71" s="12"/>
      <c r="AE71" s="12"/>
      <c r="AF71" s="13"/>
      <c r="AG71" s="33"/>
      <c r="AH71" s="13"/>
      <c r="AI71" s="12"/>
      <c r="AJ71" s="12"/>
    </row>
    <row r="72" spans="1:38" s="19" customFormat="1" ht="14" customHeight="1" x14ac:dyDescent="0.15">
      <c r="A72" s="12"/>
      <c r="B72" s="75"/>
      <c r="C72" s="119" t="s">
        <v>228</v>
      </c>
      <c r="D72" s="76"/>
      <c r="E72" s="111"/>
      <c r="F72" s="111"/>
      <c r="G72" s="111"/>
      <c r="H72" s="82"/>
      <c r="I72" s="111"/>
      <c r="J72" s="76"/>
      <c r="K72" s="102"/>
      <c r="L72" s="89"/>
      <c r="M72" s="82" t="s">
        <v>36</v>
      </c>
      <c r="N72" s="102"/>
      <c r="O72" s="89"/>
      <c r="P72" s="82"/>
      <c r="Q72" s="82"/>
      <c r="R72" s="82"/>
      <c r="S72" s="82"/>
      <c r="T72" s="102"/>
      <c r="U72" s="116"/>
      <c r="V72" s="115"/>
      <c r="W72" s="115"/>
      <c r="X72" s="115"/>
      <c r="Y72" s="115"/>
      <c r="Z72" s="115"/>
      <c r="AA72" s="115"/>
      <c r="AB72" s="115"/>
      <c r="AC72" s="81"/>
      <c r="AD72" s="12"/>
      <c r="AE72" s="12"/>
      <c r="AF72" s="13" t="b">
        <v>0</v>
      </c>
      <c r="AG72" s="33" t="b">
        <v>0</v>
      </c>
      <c r="AH72" s="13" t="b">
        <f>IF(AND(AF72,AG72),TRUE,FALSE)</f>
        <v>0</v>
      </c>
      <c r="AI72" s="12"/>
      <c r="AJ72" s="12"/>
    </row>
    <row r="73" spans="1:38" s="19" customFormat="1" ht="3" customHeight="1" x14ac:dyDescent="0.15">
      <c r="A73" s="12"/>
      <c r="B73" s="75"/>
      <c r="C73" s="76"/>
      <c r="D73" s="119"/>
      <c r="E73" s="111"/>
      <c r="F73" s="111"/>
      <c r="G73" s="111"/>
      <c r="H73" s="82"/>
      <c r="I73" s="111"/>
      <c r="J73" s="107"/>
      <c r="K73" s="76"/>
      <c r="L73" s="107"/>
      <c r="M73" s="111"/>
      <c r="N73" s="82"/>
      <c r="O73" s="82"/>
      <c r="P73" s="82"/>
      <c r="Q73" s="82"/>
      <c r="R73" s="82"/>
      <c r="S73" s="82"/>
      <c r="T73" s="102"/>
      <c r="U73" s="116"/>
      <c r="V73" s="115"/>
      <c r="W73" s="115"/>
      <c r="X73" s="115"/>
      <c r="Y73" s="115"/>
      <c r="Z73" s="115"/>
      <c r="AA73" s="115"/>
      <c r="AB73" s="115"/>
      <c r="AC73" s="81"/>
      <c r="AD73" s="12"/>
      <c r="AE73" s="12"/>
      <c r="AF73" s="13"/>
      <c r="AG73" s="33"/>
      <c r="AH73" s="12"/>
      <c r="AI73" s="12"/>
      <c r="AJ73" s="12"/>
    </row>
    <row r="74" spans="1:38" s="19" customFormat="1" ht="16" customHeight="1" x14ac:dyDescent="0.15">
      <c r="A74" s="12"/>
      <c r="B74" s="75"/>
      <c r="C74" s="119" t="s">
        <v>64</v>
      </c>
      <c r="D74" s="76"/>
      <c r="E74" s="121"/>
      <c r="F74" s="121"/>
      <c r="G74" s="121"/>
      <c r="H74" s="121"/>
      <c r="I74" s="111"/>
      <c r="J74" s="107"/>
      <c r="K74" s="104"/>
      <c r="L74" s="104"/>
      <c r="M74" s="104"/>
      <c r="N74" s="104"/>
      <c r="O74" s="104"/>
      <c r="P74" s="122"/>
      <c r="Q74" s="123"/>
      <c r="R74" s="123"/>
      <c r="S74" s="123"/>
      <c r="T74" s="123"/>
      <c r="U74" s="123"/>
      <c r="V74" s="123"/>
      <c r="W74" s="123"/>
      <c r="X74" s="123"/>
      <c r="Y74" s="123"/>
      <c r="Z74" s="123"/>
      <c r="AA74" s="123"/>
      <c r="AB74" s="124"/>
      <c r="AC74" s="81"/>
      <c r="AD74" s="12"/>
      <c r="AE74" s="12"/>
      <c r="AF74" s="13"/>
      <c r="AG74" s="33"/>
      <c r="AH74" s="12"/>
      <c r="AI74" s="12"/>
      <c r="AJ74" s="12"/>
    </row>
    <row r="75" spans="1:38" s="19" customFormat="1" ht="3" customHeight="1" x14ac:dyDescent="0.15">
      <c r="A75" s="12"/>
      <c r="B75" s="75"/>
      <c r="C75" s="119"/>
      <c r="D75" s="76"/>
      <c r="E75" s="121"/>
      <c r="F75" s="121"/>
      <c r="G75" s="121"/>
      <c r="H75" s="121"/>
      <c r="I75" s="111"/>
      <c r="J75" s="107"/>
      <c r="K75" s="104"/>
      <c r="L75" s="104"/>
      <c r="M75" s="104"/>
      <c r="N75" s="104"/>
      <c r="O75" s="104"/>
      <c r="P75" s="104"/>
      <c r="Q75" s="104"/>
      <c r="R75" s="107"/>
      <c r="S75" s="107"/>
      <c r="T75" s="107"/>
      <c r="U75" s="107"/>
      <c r="V75" s="107"/>
      <c r="W75" s="107"/>
      <c r="X75" s="107"/>
      <c r="Y75" s="107"/>
      <c r="Z75" s="107"/>
      <c r="AA75" s="107"/>
      <c r="AB75" s="107"/>
      <c r="AC75" s="81"/>
      <c r="AD75" s="12"/>
      <c r="AE75" s="12"/>
      <c r="AF75" s="13"/>
      <c r="AG75" s="33"/>
      <c r="AH75" s="12"/>
      <c r="AI75" s="12"/>
      <c r="AJ75" s="12"/>
    </row>
    <row r="76" spans="1:38" s="19" customFormat="1" ht="14" customHeight="1" x14ac:dyDescent="0.15">
      <c r="A76" s="12"/>
      <c r="B76" s="75"/>
      <c r="C76" s="119" t="s">
        <v>56</v>
      </c>
      <c r="D76" s="76"/>
      <c r="E76" s="121"/>
      <c r="F76" s="121"/>
      <c r="G76" s="121"/>
      <c r="H76" s="121"/>
      <c r="I76" s="111"/>
      <c r="J76" s="107"/>
      <c r="K76" s="76"/>
      <c r="L76" s="252"/>
      <c r="M76" s="253"/>
      <c r="N76" s="253"/>
      <c r="O76" s="253"/>
      <c r="P76" s="254"/>
      <c r="Q76" s="82"/>
      <c r="R76" s="82"/>
      <c r="S76" s="82"/>
      <c r="T76" s="102"/>
      <c r="U76" s="116"/>
      <c r="V76" s="115"/>
      <c r="W76" s="115"/>
      <c r="X76" s="115"/>
      <c r="Y76" s="115"/>
      <c r="Z76" s="115"/>
      <c r="AA76" s="115"/>
      <c r="AB76" s="115"/>
      <c r="AC76" s="81"/>
      <c r="AD76" s="12"/>
      <c r="AE76" s="12"/>
      <c r="AF76" s="13" t="s">
        <v>4</v>
      </c>
      <c r="AG76" s="33"/>
      <c r="AH76" s="12"/>
      <c r="AI76" s="12"/>
      <c r="AJ76" s="12"/>
    </row>
    <row r="77" spans="1:38" s="12" customFormat="1" ht="3" customHeight="1" thickBot="1" x14ac:dyDescent="0.25">
      <c r="B77" s="125"/>
      <c r="C77" s="126"/>
      <c r="D77" s="126"/>
      <c r="E77" s="126"/>
      <c r="F77" s="126"/>
      <c r="G77" s="127"/>
      <c r="H77" s="126"/>
      <c r="I77" s="126"/>
      <c r="J77" s="126"/>
      <c r="K77" s="126"/>
      <c r="L77" s="126"/>
      <c r="M77" s="126"/>
      <c r="N77" s="126"/>
      <c r="O77" s="128"/>
      <c r="P77" s="129"/>
      <c r="Q77" s="130"/>
      <c r="R77" s="130"/>
      <c r="S77" s="130"/>
      <c r="T77" s="130"/>
      <c r="U77" s="127"/>
      <c r="V77" s="127"/>
      <c r="W77" s="127"/>
      <c r="X77" s="127"/>
      <c r="Y77" s="127"/>
      <c r="Z77" s="127"/>
      <c r="AA77" s="127"/>
      <c r="AB77" s="127"/>
      <c r="AC77" s="131"/>
      <c r="AF77" s="13" t="s">
        <v>65</v>
      </c>
      <c r="AG77" s="13"/>
    </row>
    <row r="78" spans="1:38" s="29" customFormat="1" ht="23" customHeight="1" thickBot="1" x14ac:dyDescent="0.25">
      <c r="B78" s="54" t="s">
        <v>95</v>
      </c>
      <c r="C78" s="55"/>
      <c r="D78" s="55"/>
      <c r="E78" s="55"/>
      <c r="F78" s="56"/>
      <c r="G78" s="56"/>
      <c r="H78" s="56"/>
      <c r="I78" s="56"/>
      <c r="J78" s="56"/>
      <c r="K78" s="56"/>
      <c r="L78" s="56"/>
      <c r="M78" s="56"/>
      <c r="N78" s="56"/>
      <c r="O78" s="56"/>
      <c r="P78" s="56"/>
      <c r="Q78" s="56"/>
      <c r="R78" s="56"/>
      <c r="S78" s="56"/>
      <c r="T78" s="56"/>
      <c r="U78" s="56"/>
      <c r="V78" s="56"/>
      <c r="W78" s="56"/>
      <c r="X78" s="56"/>
      <c r="Y78" s="56"/>
      <c r="Z78" s="56"/>
      <c r="AA78" s="56"/>
      <c r="AB78" s="56"/>
      <c r="AC78" s="57"/>
      <c r="AF78" s="61" t="s">
        <v>189</v>
      </c>
    </row>
    <row r="79" spans="1:38" s="12" customFormat="1" ht="19" customHeight="1" x14ac:dyDescent="0.2">
      <c r="B79" s="75"/>
      <c r="C79" s="76"/>
      <c r="D79" s="82" t="s">
        <v>205</v>
      </c>
      <c r="E79" s="82"/>
      <c r="F79" s="76"/>
      <c r="G79" s="76"/>
      <c r="H79" s="76"/>
      <c r="I79" s="76"/>
      <c r="J79" s="76"/>
      <c r="K79" s="76"/>
      <c r="L79" s="76"/>
      <c r="M79" s="76"/>
      <c r="N79" s="76"/>
      <c r="O79" s="76"/>
      <c r="P79" s="82" t="s">
        <v>36</v>
      </c>
      <c r="Q79" s="76"/>
      <c r="R79" s="76"/>
      <c r="S79" s="76" t="s">
        <v>3</v>
      </c>
      <c r="T79" s="76"/>
      <c r="U79" s="76"/>
      <c r="V79" s="264" t="str">
        <f>IF(AND(AJ79,AF80),IF(AF79,AK80,AL80),"")</f>
        <v/>
      </c>
      <c r="W79" s="264"/>
      <c r="X79" s="264"/>
      <c r="Y79" s="264"/>
      <c r="Z79" s="264"/>
      <c r="AA79" s="264"/>
      <c r="AB79" s="264"/>
      <c r="AC79" s="81"/>
      <c r="AF79" s="13" t="b">
        <v>0</v>
      </c>
      <c r="AG79" s="13" t="b">
        <v>0</v>
      </c>
      <c r="AH79" s="13" t="b">
        <f>IF(AND(AF79,AG79),TRUE,FALSE)</f>
        <v>0</v>
      </c>
      <c r="AI79" s="13" t="b">
        <f>IF(OR(AF79,AG79),FALSE,TRUE)</f>
        <v>1</v>
      </c>
      <c r="AJ79" s="13" t="b">
        <f>NOT(OR(AH79,AI79))</f>
        <v>0</v>
      </c>
    </row>
    <row r="80" spans="1:38" s="12" customFormat="1" ht="18" customHeight="1" x14ac:dyDescent="0.2">
      <c r="B80" s="75"/>
      <c r="C80" s="76"/>
      <c r="D80" s="266" t="s">
        <v>229</v>
      </c>
      <c r="E80" s="266"/>
      <c r="F80" s="266"/>
      <c r="G80" s="266"/>
      <c r="H80" s="266"/>
      <c r="I80" s="266"/>
      <c r="J80" s="266"/>
      <c r="K80" s="266"/>
      <c r="L80" s="266"/>
      <c r="M80" s="266"/>
      <c r="N80" s="68"/>
      <c r="O80" s="68"/>
      <c r="P80" s="68" t="s">
        <v>36</v>
      </c>
      <c r="Q80" s="68"/>
      <c r="R80" s="68"/>
      <c r="S80" s="205" t="s">
        <v>3</v>
      </c>
      <c r="T80" s="205"/>
      <c r="U80" s="76"/>
      <c r="V80" s="265"/>
      <c r="W80" s="265"/>
      <c r="X80" s="265"/>
      <c r="Y80" s="265"/>
      <c r="Z80" s="265"/>
      <c r="AA80" s="265"/>
      <c r="AB80" s="265"/>
      <c r="AC80" s="81"/>
      <c r="AF80" s="13" t="b">
        <v>0</v>
      </c>
      <c r="AG80" s="13" t="b">
        <v>0</v>
      </c>
      <c r="AH80" s="13" t="b">
        <f>IF(AND(AF80,AG80),TRUE,FALSE)</f>
        <v>0</v>
      </c>
      <c r="AI80" s="13" t="b">
        <f>NOT(OR(AF80,AG80))</f>
        <v>1</v>
      </c>
      <c r="AJ80" s="13" t="b">
        <f>NOT(OR(AH80,AI80))</f>
        <v>0</v>
      </c>
      <c r="AK80" s="12" t="s">
        <v>63</v>
      </c>
      <c r="AL80" s="12" t="s">
        <v>199</v>
      </c>
    </row>
    <row r="81" spans="2:36" s="12" customFormat="1" ht="7" customHeight="1" x14ac:dyDescent="0.15">
      <c r="B81" s="75"/>
      <c r="C81" s="76"/>
      <c r="D81" s="132"/>
      <c r="E81" s="132"/>
      <c r="F81" s="132"/>
      <c r="G81" s="132"/>
      <c r="H81" s="132"/>
      <c r="I81" s="132"/>
      <c r="J81" s="132"/>
      <c r="K81" s="132"/>
      <c r="L81" s="132"/>
      <c r="M81" s="132"/>
      <c r="N81" s="68"/>
      <c r="O81" s="68"/>
      <c r="P81" s="68"/>
      <c r="Q81" s="68"/>
      <c r="R81" s="68"/>
      <c r="S81" s="67"/>
      <c r="T81" s="67"/>
      <c r="U81" s="76"/>
      <c r="V81" s="76"/>
      <c r="W81" s="76"/>
      <c r="X81" s="76"/>
      <c r="Y81" s="76"/>
      <c r="Z81" s="76"/>
      <c r="AA81" s="76"/>
      <c r="AB81" s="76"/>
      <c r="AC81" s="81"/>
      <c r="AF81" s="62" t="s">
        <v>190</v>
      </c>
      <c r="AG81" s="62" t="s">
        <v>191</v>
      </c>
      <c r="AH81" s="62" t="s">
        <v>192</v>
      </c>
      <c r="AI81" s="62" t="s">
        <v>193</v>
      </c>
      <c r="AJ81" s="62" t="s">
        <v>196</v>
      </c>
    </row>
    <row r="82" spans="2:36" s="12" customFormat="1" ht="15" customHeight="1" x14ac:dyDescent="0.2">
      <c r="B82" s="75"/>
      <c r="C82" s="89"/>
      <c r="D82" s="82" t="s">
        <v>62</v>
      </c>
      <c r="E82" s="82"/>
      <c r="F82" s="76"/>
      <c r="G82" s="76"/>
      <c r="H82" s="76"/>
      <c r="I82" s="76"/>
      <c r="J82" s="76"/>
      <c r="K82" s="76"/>
      <c r="L82" s="76"/>
      <c r="M82" s="76"/>
      <c r="N82" s="89"/>
      <c r="O82" s="89"/>
      <c r="P82" s="89"/>
      <c r="Q82" s="76"/>
      <c r="R82" s="76"/>
      <c r="S82" s="76"/>
      <c r="T82" s="76"/>
      <c r="U82" s="76"/>
      <c r="V82" s="223"/>
      <c r="W82" s="224"/>
      <c r="X82" s="225"/>
      <c r="Y82" s="76" t="s">
        <v>61</v>
      </c>
      <c r="Z82" s="107"/>
      <c r="AA82" s="107"/>
      <c r="AB82" s="107"/>
      <c r="AC82" s="81"/>
      <c r="AF82" s="13"/>
      <c r="AG82" s="13" t="b">
        <f>IF(V82&gt;0,TRUE,FALSE)</f>
        <v>0</v>
      </c>
      <c r="AH82" s="61" t="s">
        <v>194</v>
      </c>
      <c r="AI82" s="13"/>
      <c r="AJ82" s="13"/>
    </row>
    <row r="83" spans="2:36" s="12" customFormat="1" ht="15" customHeight="1" x14ac:dyDescent="0.2">
      <c r="B83" s="133"/>
      <c r="C83" s="134"/>
      <c r="D83" s="135" t="s">
        <v>72</v>
      </c>
      <c r="E83" s="136"/>
      <c r="F83" s="241" t="s">
        <v>73</v>
      </c>
      <c r="G83" s="241"/>
      <c r="H83" s="136"/>
      <c r="I83" s="137" t="s">
        <v>74</v>
      </c>
      <c r="J83" s="136"/>
      <c r="K83" s="138" t="s">
        <v>75</v>
      </c>
      <c r="L83" s="136"/>
      <c r="M83" s="136" t="s">
        <v>76</v>
      </c>
      <c r="N83" s="139"/>
      <c r="O83" s="139"/>
      <c r="P83" s="134"/>
      <c r="Q83" s="140"/>
      <c r="R83" s="141"/>
      <c r="S83" s="141"/>
      <c r="T83" s="141"/>
      <c r="U83" s="141"/>
      <c r="V83" s="104"/>
      <c r="W83" s="104"/>
      <c r="X83" s="141"/>
      <c r="Y83" s="107"/>
      <c r="Z83" s="68"/>
      <c r="AA83" s="265"/>
      <c r="AB83" s="265"/>
      <c r="AC83" s="142"/>
      <c r="AF83" s="13"/>
      <c r="AH83" s="13"/>
      <c r="AI83" s="13"/>
      <c r="AJ83" s="13"/>
    </row>
    <row r="84" spans="2:36" s="12" customFormat="1" ht="14" customHeight="1" x14ac:dyDescent="0.15">
      <c r="B84" s="133"/>
      <c r="C84" s="82">
        <v>1</v>
      </c>
      <c r="D84" s="143"/>
      <c r="E84" s="144"/>
      <c r="F84" s="200"/>
      <c r="G84" s="201"/>
      <c r="H84" s="144"/>
      <c r="I84" s="143"/>
      <c r="J84" s="144"/>
      <c r="K84" s="143"/>
      <c r="L84" s="144"/>
      <c r="M84" s="145">
        <v>1</v>
      </c>
      <c r="N84" s="68"/>
      <c r="O84" s="146"/>
      <c r="P84" s="147"/>
      <c r="Q84" s="147"/>
      <c r="R84" s="76"/>
      <c r="S84" s="89"/>
      <c r="T84" s="148" t="s">
        <v>77</v>
      </c>
      <c r="U84" s="104"/>
      <c r="V84" s="238"/>
      <c r="W84" s="239"/>
      <c r="X84" s="240"/>
      <c r="Y84" s="76" t="s">
        <v>61</v>
      </c>
      <c r="Z84" s="76"/>
      <c r="AA84" s="76"/>
      <c r="AB84" s="76"/>
      <c r="AC84" s="81"/>
      <c r="AF84" s="13">
        <f>(D84+F84+I84-K84)*M84</f>
        <v>0</v>
      </c>
      <c r="AG84" s="13" t="b">
        <f>IF(SUM(M84:M112)=1,TRUE,FALSE)</f>
        <v>1</v>
      </c>
      <c r="AH84" s="61" t="s">
        <v>60</v>
      </c>
      <c r="AI84" s="13"/>
      <c r="AJ84" s="15" t="s">
        <v>111</v>
      </c>
    </row>
    <row r="85" spans="2:36" s="12" customFormat="1" ht="2" customHeight="1" x14ac:dyDescent="0.15">
      <c r="B85" s="75"/>
      <c r="C85" s="82"/>
      <c r="D85" s="149"/>
      <c r="E85" s="149"/>
      <c r="F85" s="149"/>
      <c r="G85" s="149"/>
      <c r="H85" s="149"/>
      <c r="I85" s="149"/>
      <c r="J85" s="149"/>
      <c r="K85" s="150"/>
      <c r="L85" s="149"/>
      <c r="M85" s="151"/>
      <c r="N85" s="82"/>
      <c r="O85" s="152"/>
      <c r="P85" s="147"/>
      <c r="Q85" s="147"/>
      <c r="R85" s="76"/>
      <c r="S85" s="76"/>
      <c r="T85" s="153"/>
      <c r="U85" s="141"/>
      <c r="V85" s="154" t="b">
        <f>_xlfn.XOR(AF79,AG79)</f>
        <v>0</v>
      </c>
      <c r="W85" s="154"/>
      <c r="X85" s="141"/>
      <c r="Y85" s="107"/>
      <c r="Z85" s="141"/>
      <c r="AA85" s="141"/>
      <c r="AB85" s="141"/>
      <c r="AC85" s="81"/>
      <c r="AF85" s="13"/>
      <c r="AG85" s="13"/>
      <c r="AH85" s="13"/>
      <c r="AI85" s="13"/>
      <c r="AJ85" s="13"/>
    </row>
    <row r="86" spans="2:36" s="12" customFormat="1" ht="14" customHeight="1" x14ac:dyDescent="0.2">
      <c r="B86" s="75"/>
      <c r="C86" s="82">
        <v>2</v>
      </c>
      <c r="D86" s="155"/>
      <c r="E86" s="144"/>
      <c r="F86" s="200"/>
      <c r="G86" s="201"/>
      <c r="H86" s="144"/>
      <c r="I86" s="143"/>
      <c r="J86" s="144"/>
      <c r="K86" s="143"/>
      <c r="L86" s="144"/>
      <c r="M86" s="145"/>
      <c r="N86" s="68"/>
      <c r="O86" s="146"/>
      <c r="P86" s="147"/>
      <c r="Q86" s="147"/>
      <c r="R86" s="76"/>
      <c r="S86" s="89"/>
      <c r="T86" s="156" t="s">
        <v>78</v>
      </c>
      <c r="U86" s="104"/>
      <c r="V86" s="238"/>
      <c r="W86" s="239"/>
      <c r="X86" s="240"/>
      <c r="Y86" s="76" t="s">
        <v>61</v>
      </c>
      <c r="Z86" s="76"/>
      <c r="AA86" s="76"/>
      <c r="AB86" s="76"/>
      <c r="AC86" s="81"/>
      <c r="AF86" s="13">
        <f>(D86+F86+I86-K86)*M86</f>
        <v>0</v>
      </c>
      <c r="AG86" s="13"/>
      <c r="AH86" s="13"/>
      <c r="AI86" s="13"/>
      <c r="AJ86" s="13"/>
    </row>
    <row r="87" spans="2:36" s="12" customFormat="1" ht="2" customHeight="1" x14ac:dyDescent="0.15">
      <c r="B87" s="75"/>
      <c r="C87" s="82"/>
      <c r="D87" s="149"/>
      <c r="E87" s="149"/>
      <c r="F87" s="149"/>
      <c r="G87" s="149"/>
      <c r="H87" s="149"/>
      <c r="I87" s="149"/>
      <c r="J87" s="149"/>
      <c r="K87" s="150"/>
      <c r="L87" s="149"/>
      <c r="M87" s="151"/>
      <c r="N87" s="82"/>
      <c r="O87" s="152"/>
      <c r="P87" s="147"/>
      <c r="Q87" s="147"/>
      <c r="R87" s="76"/>
      <c r="S87" s="76"/>
      <c r="T87" s="153"/>
      <c r="U87" s="141"/>
      <c r="V87" s="154"/>
      <c r="W87" s="154"/>
      <c r="X87" s="107"/>
      <c r="Y87" s="107"/>
      <c r="Z87" s="107"/>
      <c r="AA87" s="107"/>
      <c r="AB87" s="107"/>
      <c r="AC87" s="81"/>
      <c r="AF87" s="13"/>
      <c r="AG87" s="13"/>
      <c r="AH87" s="13"/>
      <c r="AI87" s="13"/>
      <c r="AJ87" s="13"/>
    </row>
    <row r="88" spans="2:36" s="12" customFormat="1" ht="14" customHeight="1" x14ac:dyDescent="0.2">
      <c r="B88" s="75"/>
      <c r="C88" s="82">
        <v>3</v>
      </c>
      <c r="D88" s="157"/>
      <c r="E88" s="144"/>
      <c r="F88" s="200"/>
      <c r="G88" s="201"/>
      <c r="H88" s="144"/>
      <c r="I88" s="143"/>
      <c r="J88" s="144"/>
      <c r="K88" s="143"/>
      <c r="L88" s="144"/>
      <c r="M88" s="145"/>
      <c r="N88" s="68"/>
      <c r="O88" s="146"/>
      <c r="P88" s="147"/>
      <c r="Q88" s="147"/>
      <c r="R88" s="76"/>
      <c r="S88" s="89"/>
      <c r="T88" s="158" t="s">
        <v>233</v>
      </c>
      <c r="U88" s="104"/>
      <c r="V88" s="238"/>
      <c r="W88" s="239"/>
      <c r="X88" s="240"/>
      <c r="Y88" s="76" t="s">
        <v>61</v>
      </c>
      <c r="Z88" s="76"/>
      <c r="AA88" s="76"/>
      <c r="AB88" s="107"/>
      <c r="AC88" s="81"/>
      <c r="AF88" s="13">
        <f>(D88+F88+I88-K88)*M88</f>
        <v>0</v>
      </c>
      <c r="AG88" s="13"/>
      <c r="AH88" s="61" t="s">
        <v>195</v>
      </c>
      <c r="AI88" s="13"/>
      <c r="AJ88" s="13"/>
    </row>
    <row r="89" spans="2:36" s="12" customFormat="1" ht="2" customHeight="1" x14ac:dyDescent="0.15">
      <c r="B89" s="75"/>
      <c r="C89" s="82"/>
      <c r="D89" s="149"/>
      <c r="E89" s="149"/>
      <c r="F89" s="149"/>
      <c r="G89" s="149"/>
      <c r="H89" s="149"/>
      <c r="I89" s="149"/>
      <c r="J89" s="149"/>
      <c r="K89" s="150"/>
      <c r="L89" s="149"/>
      <c r="M89" s="151"/>
      <c r="N89" s="82"/>
      <c r="O89" s="152"/>
      <c r="P89" s="147"/>
      <c r="Q89" s="147"/>
      <c r="R89" s="76"/>
      <c r="S89" s="76"/>
      <c r="T89" s="153"/>
      <c r="U89" s="141"/>
      <c r="V89" s="154"/>
      <c r="W89" s="154"/>
      <c r="X89" s="107"/>
      <c r="Y89" s="107"/>
      <c r="Z89" s="107"/>
      <c r="AA89" s="107"/>
      <c r="AB89" s="107"/>
      <c r="AC89" s="81"/>
      <c r="AF89" s="13"/>
      <c r="AG89" s="13"/>
      <c r="AH89" s="13"/>
      <c r="AI89" s="13"/>
      <c r="AJ89" s="13"/>
    </row>
    <row r="90" spans="2:36" s="12" customFormat="1" ht="14" customHeight="1" x14ac:dyDescent="0.2">
      <c r="B90" s="75"/>
      <c r="C90" s="82">
        <v>4</v>
      </c>
      <c r="D90" s="143"/>
      <c r="E90" s="144"/>
      <c r="F90" s="200"/>
      <c r="G90" s="201"/>
      <c r="H90" s="144"/>
      <c r="I90" s="143"/>
      <c r="J90" s="144"/>
      <c r="K90" s="143"/>
      <c r="L90" s="144"/>
      <c r="M90" s="145"/>
      <c r="N90" s="68"/>
      <c r="O90" s="146"/>
      <c r="P90" s="147"/>
      <c r="Q90" s="147"/>
      <c r="R90" s="76"/>
      <c r="S90" s="89"/>
      <c r="T90" s="156" t="s">
        <v>79</v>
      </c>
      <c r="U90" s="104"/>
      <c r="V90" s="238"/>
      <c r="W90" s="239"/>
      <c r="X90" s="240"/>
      <c r="Y90" s="76" t="s">
        <v>61</v>
      </c>
      <c r="Z90" s="107"/>
      <c r="AA90" s="107"/>
      <c r="AB90" s="107"/>
      <c r="AC90" s="81"/>
      <c r="AF90" s="13">
        <f>(D90+F90+I90-K90)*M90</f>
        <v>0</v>
      </c>
      <c r="AG90" s="61" t="s">
        <v>197</v>
      </c>
      <c r="AH90" s="13"/>
      <c r="AI90" s="13"/>
      <c r="AJ90" s="13"/>
    </row>
    <row r="91" spans="2:36" s="12" customFormat="1" ht="2" customHeight="1" x14ac:dyDescent="0.15">
      <c r="B91" s="75"/>
      <c r="C91" s="82"/>
      <c r="D91" s="149"/>
      <c r="E91" s="149"/>
      <c r="F91" s="149"/>
      <c r="G91" s="149"/>
      <c r="H91" s="149"/>
      <c r="I91" s="149"/>
      <c r="J91" s="149"/>
      <c r="K91" s="150"/>
      <c r="L91" s="149"/>
      <c r="M91" s="151"/>
      <c r="N91" s="82"/>
      <c r="O91" s="152"/>
      <c r="P91" s="147"/>
      <c r="Q91" s="147"/>
      <c r="R91" s="76"/>
      <c r="S91" s="76"/>
      <c r="T91" s="153"/>
      <c r="U91" s="141"/>
      <c r="V91" s="154"/>
      <c r="W91" s="154"/>
      <c r="X91" s="107"/>
      <c r="Y91" s="107"/>
      <c r="Z91" s="107"/>
      <c r="AA91" s="107"/>
      <c r="AB91" s="107"/>
      <c r="AC91" s="81"/>
      <c r="AF91" s="13"/>
      <c r="AG91" s="13"/>
      <c r="AH91" s="13"/>
      <c r="AI91" s="13"/>
      <c r="AJ91" s="13"/>
    </row>
    <row r="92" spans="2:36" s="12" customFormat="1" ht="14" customHeight="1" x14ac:dyDescent="0.2">
      <c r="B92" s="75"/>
      <c r="C92" s="82">
        <v>5</v>
      </c>
      <c r="D92" s="143"/>
      <c r="E92" s="144"/>
      <c r="F92" s="200"/>
      <c r="G92" s="201"/>
      <c r="H92" s="144"/>
      <c r="I92" s="143"/>
      <c r="J92" s="144"/>
      <c r="K92" s="143"/>
      <c r="L92" s="144"/>
      <c r="M92" s="145"/>
      <c r="N92" s="68"/>
      <c r="O92" s="146"/>
      <c r="P92" s="147"/>
      <c r="Q92" s="147"/>
      <c r="R92" s="76"/>
      <c r="S92" s="89"/>
      <c r="T92" s="156" t="s">
        <v>80</v>
      </c>
      <c r="U92" s="104"/>
      <c r="V92" s="238"/>
      <c r="W92" s="239"/>
      <c r="X92" s="240"/>
      <c r="Y92" s="76" t="s">
        <v>61</v>
      </c>
      <c r="Z92" s="107"/>
      <c r="AA92" s="107"/>
      <c r="AB92" s="107"/>
      <c r="AC92" s="81"/>
      <c r="AF92" s="13">
        <f>(D92+F92+I92-K92)*M92</f>
        <v>0</v>
      </c>
      <c r="AG92" s="13" t="b">
        <f>AND(AG79,AF80,AJ79,AJ80)</f>
        <v>0</v>
      </c>
      <c r="AH92" s="13">
        <f>IF(AND(AG92,ISNUMBER(V94)),V94,0)</f>
        <v>0</v>
      </c>
      <c r="AI92" s="61" t="s">
        <v>198</v>
      </c>
    </row>
    <row r="93" spans="2:36" s="12" customFormat="1" ht="2" customHeight="1" x14ac:dyDescent="0.15">
      <c r="B93" s="75"/>
      <c r="C93" s="82"/>
      <c r="D93" s="149"/>
      <c r="E93" s="149"/>
      <c r="F93" s="149"/>
      <c r="G93" s="149"/>
      <c r="H93" s="149"/>
      <c r="I93" s="149"/>
      <c r="J93" s="149"/>
      <c r="K93" s="150"/>
      <c r="L93" s="149"/>
      <c r="M93" s="151"/>
      <c r="N93" s="82"/>
      <c r="O93" s="152"/>
      <c r="P93" s="147"/>
      <c r="Q93" s="147"/>
      <c r="R93" s="76"/>
      <c r="S93" s="76"/>
      <c r="T93" s="147"/>
      <c r="U93" s="141"/>
      <c r="V93" s="154"/>
      <c r="W93" s="154"/>
      <c r="X93" s="107"/>
      <c r="Y93" s="107"/>
      <c r="Z93" s="107"/>
      <c r="AA93" s="107"/>
      <c r="AB93" s="107"/>
      <c r="AC93" s="81"/>
      <c r="AF93" s="13"/>
      <c r="AG93" s="13"/>
      <c r="AH93" s="13"/>
      <c r="AI93" s="13"/>
      <c r="AJ93" s="13"/>
    </row>
    <row r="94" spans="2:36" s="12" customFormat="1" ht="14" customHeight="1" x14ac:dyDescent="0.15">
      <c r="B94" s="75"/>
      <c r="C94" s="82">
        <v>6</v>
      </c>
      <c r="D94" s="157"/>
      <c r="E94" s="144"/>
      <c r="F94" s="200"/>
      <c r="G94" s="201"/>
      <c r="H94" s="144"/>
      <c r="I94" s="143"/>
      <c r="J94" s="144"/>
      <c r="K94" s="143"/>
      <c r="L94" s="144"/>
      <c r="M94" s="145"/>
      <c r="N94" s="68"/>
      <c r="O94" s="146"/>
      <c r="P94" s="147"/>
      <c r="Q94" s="243" t="str">
        <f>IF(AND(AJ79,AF80),IF(AF79,"","Compression"),"")</f>
        <v/>
      </c>
      <c r="R94" s="243"/>
      <c r="S94" s="243"/>
      <c r="T94" s="243"/>
      <c r="U94" s="76"/>
      <c r="V94" s="267">
        <v>4.5999999999999996</v>
      </c>
      <c r="W94" s="267"/>
      <c r="X94" s="76"/>
      <c r="Y94" s="107" t="str">
        <f>IF(AND(AJ79,AF80),IF(AF79,"","    gCO2eq/MJ"),"")</f>
        <v/>
      </c>
      <c r="Z94" s="76"/>
      <c r="AA94" s="76"/>
      <c r="AB94" s="76"/>
      <c r="AC94" s="81"/>
      <c r="AF94" s="13">
        <f>(D94+F94+I94-K94)*M94</f>
        <v>0</v>
      </c>
      <c r="AG94" s="13"/>
      <c r="AH94" s="13"/>
      <c r="AI94" s="13"/>
    </row>
    <row r="95" spans="2:36" s="12" customFormat="1" ht="2" customHeight="1" x14ac:dyDescent="0.15">
      <c r="B95" s="75"/>
      <c r="C95" s="82"/>
      <c r="D95" s="149"/>
      <c r="E95" s="144"/>
      <c r="F95" s="149"/>
      <c r="G95" s="149"/>
      <c r="H95" s="144"/>
      <c r="I95" s="149"/>
      <c r="J95" s="144"/>
      <c r="K95" s="149"/>
      <c r="L95" s="144"/>
      <c r="M95" s="151"/>
      <c r="N95" s="68"/>
      <c r="O95" s="146"/>
      <c r="P95" s="147"/>
      <c r="Q95" s="147"/>
      <c r="R95" s="107"/>
      <c r="S95" s="107"/>
      <c r="T95" s="107"/>
      <c r="U95" s="76"/>
      <c r="V95" s="149"/>
      <c r="W95" s="149"/>
      <c r="X95" s="76"/>
      <c r="Y95" s="107"/>
      <c r="Z95" s="76"/>
      <c r="AA95" s="76"/>
      <c r="AB95" s="76"/>
      <c r="AC95" s="81"/>
      <c r="AF95" s="13"/>
      <c r="AG95" s="13"/>
      <c r="AH95" s="13"/>
      <c r="AI95" s="13"/>
      <c r="AJ95" s="13"/>
    </row>
    <row r="96" spans="2:36" s="12" customFormat="1" ht="14" customHeight="1" x14ac:dyDescent="0.15">
      <c r="B96" s="75"/>
      <c r="C96" s="82">
        <v>7</v>
      </c>
      <c r="D96" s="143"/>
      <c r="E96" s="144"/>
      <c r="F96" s="200"/>
      <c r="G96" s="201"/>
      <c r="H96" s="144"/>
      <c r="I96" s="143"/>
      <c r="J96" s="144"/>
      <c r="K96" s="143"/>
      <c r="L96" s="144"/>
      <c r="M96" s="145"/>
      <c r="N96" s="68"/>
      <c r="O96" s="146"/>
      <c r="P96" s="242" t="s">
        <v>59</v>
      </c>
      <c r="Q96" s="242"/>
      <c r="R96" s="242"/>
      <c r="S96" s="242"/>
      <c r="T96" s="242"/>
      <c r="U96" s="141"/>
      <c r="V96" s="249" t="str">
        <f>AH98</f>
        <v/>
      </c>
      <c r="W96" s="250"/>
      <c r="X96" s="251"/>
      <c r="Y96" s="107"/>
      <c r="Z96" s="107" t="s">
        <v>61</v>
      </c>
      <c r="AA96" s="107"/>
      <c r="AB96" s="107"/>
      <c r="AC96" s="81"/>
      <c r="AF96" s="13">
        <f>(D96+F96+I96-K96)*M96</f>
        <v>0</v>
      </c>
      <c r="AG96" s="13"/>
      <c r="AH96" s="61" t="s">
        <v>200</v>
      </c>
      <c r="AI96" s="13"/>
      <c r="AJ96" s="13"/>
    </row>
    <row r="97" spans="2:36" s="12" customFormat="1" ht="2" customHeight="1" x14ac:dyDescent="0.15">
      <c r="B97" s="75"/>
      <c r="C97" s="82"/>
      <c r="D97" s="149"/>
      <c r="E97" s="144"/>
      <c r="F97" s="149"/>
      <c r="G97" s="149"/>
      <c r="H97" s="144"/>
      <c r="I97" s="149"/>
      <c r="J97" s="144"/>
      <c r="K97" s="149"/>
      <c r="L97" s="144"/>
      <c r="M97" s="151"/>
      <c r="N97" s="68"/>
      <c r="O97" s="146"/>
      <c r="P97" s="147"/>
      <c r="Q97" s="147"/>
      <c r="R97" s="107"/>
      <c r="S97" s="107"/>
      <c r="T97" s="107"/>
      <c r="U97" s="76"/>
      <c r="V97" s="107"/>
      <c r="W97" s="107"/>
      <c r="X97" s="76"/>
      <c r="Y97" s="107"/>
      <c r="Z97" s="76"/>
      <c r="AA97" s="76"/>
      <c r="AB97" s="76"/>
      <c r="AC97" s="81"/>
      <c r="AF97" s="13"/>
      <c r="AG97" s="13"/>
      <c r="AH97" s="13"/>
      <c r="AI97" s="13"/>
      <c r="AJ97" s="13"/>
    </row>
    <row r="98" spans="2:36" s="12" customFormat="1" ht="14" customHeight="1" x14ac:dyDescent="0.15">
      <c r="B98" s="75"/>
      <c r="C98" s="82">
        <v>8</v>
      </c>
      <c r="D98" s="143"/>
      <c r="E98" s="144"/>
      <c r="F98" s="200"/>
      <c r="G98" s="201"/>
      <c r="H98" s="144"/>
      <c r="I98" s="143"/>
      <c r="J98" s="144"/>
      <c r="K98" s="143"/>
      <c r="L98" s="144"/>
      <c r="M98" s="145"/>
      <c r="N98" s="68"/>
      <c r="O98" s="146"/>
      <c r="P98" s="147"/>
      <c r="Q98" s="147"/>
      <c r="R98" s="107"/>
      <c r="S98" s="107"/>
      <c r="T98" s="107"/>
      <c r="U98" s="76"/>
      <c r="V98" s="107"/>
      <c r="W98" s="107"/>
      <c r="X98" s="76"/>
      <c r="Y98" s="107"/>
      <c r="Z98" s="76"/>
      <c r="AA98" s="76"/>
      <c r="AB98" s="76"/>
      <c r="AC98" s="81"/>
      <c r="AF98" s="13">
        <f>(D98+F98+I98-K98)*M98</f>
        <v>0</v>
      </c>
      <c r="AG98" s="13"/>
      <c r="AH98" s="12" t="str">
        <f>IF(AND(AJ79,AJ80,AG79),$AF$114+$V$88+$V$90+$V$92-$V$84-$V$86+$AH$92,"")</f>
        <v/>
      </c>
      <c r="AI98" s="13"/>
      <c r="AJ98" s="13"/>
    </row>
    <row r="99" spans="2:36" s="12" customFormat="1" ht="2" customHeight="1" x14ac:dyDescent="0.15">
      <c r="B99" s="75"/>
      <c r="C99" s="82"/>
      <c r="D99" s="149"/>
      <c r="E99" s="144"/>
      <c r="F99" s="149"/>
      <c r="G99" s="149"/>
      <c r="H99" s="144"/>
      <c r="I99" s="149"/>
      <c r="J99" s="144"/>
      <c r="K99" s="149"/>
      <c r="L99" s="144"/>
      <c r="M99" s="151"/>
      <c r="N99" s="68"/>
      <c r="O99" s="146"/>
      <c r="P99" s="147"/>
      <c r="Q99" s="147"/>
      <c r="R99" s="107"/>
      <c r="S99" s="107"/>
      <c r="T99" s="107"/>
      <c r="U99" s="76"/>
      <c r="V99" s="107"/>
      <c r="W99" s="107"/>
      <c r="X99" s="76"/>
      <c r="Y99" s="107"/>
      <c r="Z99" s="76"/>
      <c r="AA99" s="76"/>
      <c r="AB99" s="76"/>
      <c r="AC99" s="81"/>
      <c r="AF99" s="13"/>
      <c r="AG99" s="13"/>
      <c r="AH99" s="13"/>
      <c r="AI99" s="13"/>
      <c r="AJ99" s="13"/>
    </row>
    <row r="100" spans="2:36" s="12" customFormat="1" ht="14" customHeight="1" x14ac:dyDescent="0.15">
      <c r="B100" s="75"/>
      <c r="C100" s="82">
        <v>9</v>
      </c>
      <c r="D100" s="143"/>
      <c r="E100" s="144"/>
      <c r="F100" s="200"/>
      <c r="G100" s="201"/>
      <c r="H100" s="144"/>
      <c r="I100" s="143"/>
      <c r="J100" s="144"/>
      <c r="K100" s="143"/>
      <c r="L100" s="144"/>
      <c r="M100" s="145"/>
      <c r="N100" s="68"/>
      <c r="O100" s="146"/>
      <c r="P100" s="147"/>
      <c r="Q100" s="147"/>
      <c r="R100" s="107"/>
      <c r="S100" s="107"/>
      <c r="T100" s="107"/>
      <c r="U100" s="76"/>
      <c r="V100" s="107"/>
      <c r="W100" s="107"/>
      <c r="X100" s="76"/>
      <c r="Y100" s="107"/>
      <c r="Z100" s="76"/>
      <c r="AA100" s="76"/>
      <c r="AB100" s="76"/>
      <c r="AC100" s="81"/>
      <c r="AF100" s="13">
        <f>(D100+F100+I100-K100)*M100</f>
        <v>0</v>
      </c>
      <c r="AG100" s="13"/>
      <c r="AH100" s="13"/>
      <c r="AI100" s="13"/>
      <c r="AJ100" s="13"/>
    </row>
    <row r="101" spans="2:36" s="12" customFormat="1" ht="2" customHeight="1" x14ac:dyDescent="0.15">
      <c r="B101" s="75"/>
      <c r="C101" s="82"/>
      <c r="D101" s="149"/>
      <c r="E101" s="144"/>
      <c r="F101" s="149"/>
      <c r="G101" s="149"/>
      <c r="H101" s="144"/>
      <c r="I101" s="149"/>
      <c r="J101" s="144"/>
      <c r="K101" s="149"/>
      <c r="L101" s="144"/>
      <c r="M101" s="151"/>
      <c r="N101" s="68"/>
      <c r="O101" s="146"/>
      <c r="P101" s="147"/>
      <c r="Q101" s="147"/>
      <c r="R101" s="107"/>
      <c r="S101" s="107"/>
      <c r="T101" s="107"/>
      <c r="U101" s="76"/>
      <c r="V101" s="107"/>
      <c r="W101" s="107"/>
      <c r="X101" s="76"/>
      <c r="Y101" s="107"/>
      <c r="Z101" s="76"/>
      <c r="AA101" s="76"/>
      <c r="AB101" s="76"/>
      <c r="AC101" s="81"/>
      <c r="AF101" s="13"/>
      <c r="AG101" s="13"/>
      <c r="AH101" s="13"/>
      <c r="AI101" s="13"/>
      <c r="AJ101" s="13"/>
    </row>
    <row r="102" spans="2:36" s="12" customFormat="1" ht="14" customHeight="1" x14ac:dyDescent="0.2">
      <c r="B102" s="75"/>
      <c r="C102" s="82">
        <v>10</v>
      </c>
      <c r="D102" s="143"/>
      <c r="E102" s="144"/>
      <c r="F102" s="200"/>
      <c r="G102" s="201"/>
      <c r="H102" s="144"/>
      <c r="I102" s="143"/>
      <c r="J102" s="144"/>
      <c r="K102" s="143"/>
      <c r="L102" s="144"/>
      <c r="M102" s="145"/>
      <c r="N102" s="68"/>
      <c r="O102" s="146"/>
      <c r="P102" s="243" t="s">
        <v>57</v>
      </c>
      <c r="Q102" s="243"/>
      <c r="R102" s="243"/>
      <c r="S102" s="243"/>
      <c r="T102" s="243"/>
      <c r="U102" s="76"/>
      <c r="V102" s="244"/>
      <c r="W102" s="245"/>
      <c r="X102" s="82" t="s">
        <v>94</v>
      </c>
      <c r="Y102" s="76"/>
      <c r="Z102" s="76"/>
      <c r="AA102" s="76"/>
      <c r="AB102" s="76"/>
      <c r="AC102" s="81"/>
      <c r="AF102" s="13">
        <f>(D102+F102+I102-K102)*M102</f>
        <v>0</v>
      </c>
      <c r="AG102" s="13"/>
      <c r="AH102" s="13"/>
      <c r="AI102" s="13"/>
      <c r="AJ102" s="13"/>
    </row>
    <row r="103" spans="2:36" s="12" customFormat="1" ht="2" customHeight="1" x14ac:dyDescent="0.15">
      <c r="B103" s="75"/>
      <c r="C103" s="82"/>
      <c r="D103" s="149"/>
      <c r="E103" s="144"/>
      <c r="F103" s="149"/>
      <c r="G103" s="149"/>
      <c r="H103" s="144"/>
      <c r="I103" s="149"/>
      <c r="J103" s="144"/>
      <c r="K103" s="149"/>
      <c r="L103" s="144"/>
      <c r="M103" s="151"/>
      <c r="N103" s="68"/>
      <c r="O103" s="146"/>
      <c r="P103" s="147"/>
      <c r="Q103" s="147"/>
      <c r="R103" s="107"/>
      <c r="S103" s="107"/>
      <c r="T103" s="107"/>
      <c r="U103" s="76"/>
      <c r="V103" s="149"/>
      <c r="W103" s="149"/>
      <c r="X103" s="76"/>
      <c r="Y103" s="107"/>
      <c r="Z103" s="76"/>
      <c r="AA103" s="76"/>
      <c r="AB103" s="76"/>
      <c r="AC103" s="81"/>
      <c r="AF103" s="13"/>
      <c r="AG103" s="13"/>
      <c r="AH103" s="13"/>
      <c r="AI103" s="13"/>
      <c r="AJ103" s="13"/>
    </row>
    <row r="104" spans="2:36" s="12" customFormat="1" ht="14" customHeight="1" x14ac:dyDescent="0.15">
      <c r="B104" s="75"/>
      <c r="C104" s="82">
        <v>11</v>
      </c>
      <c r="D104" s="143"/>
      <c r="E104" s="144"/>
      <c r="F104" s="200"/>
      <c r="G104" s="201"/>
      <c r="H104" s="144"/>
      <c r="I104" s="143"/>
      <c r="J104" s="144"/>
      <c r="K104" s="143"/>
      <c r="L104" s="144"/>
      <c r="M104" s="145"/>
      <c r="N104" s="68"/>
      <c r="O104" s="146"/>
      <c r="P104" s="243" t="s">
        <v>58</v>
      </c>
      <c r="Q104" s="243"/>
      <c r="R104" s="243"/>
      <c r="S104" s="243"/>
      <c r="T104" s="243"/>
      <c r="U104" s="76"/>
      <c r="V104" s="244"/>
      <c r="W104" s="245"/>
      <c r="X104" s="82" t="s">
        <v>93</v>
      </c>
      <c r="Y104" s="104"/>
      <c r="Z104" s="104"/>
      <c r="AA104" s="104"/>
      <c r="AB104" s="104"/>
      <c r="AC104" s="81"/>
      <c r="AF104" s="13">
        <f>(D104+F104+I104-K104)*M104</f>
        <v>0</v>
      </c>
      <c r="AG104" s="13"/>
      <c r="AH104" s="13"/>
      <c r="AI104" s="13"/>
      <c r="AJ104" s="13"/>
    </row>
    <row r="105" spans="2:36" s="12" customFormat="1" ht="2" customHeight="1" x14ac:dyDescent="0.15">
      <c r="B105" s="75"/>
      <c r="C105" s="82"/>
      <c r="D105" s="149"/>
      <c r="E105" s="144"/>
      <c r="F105" s="149"/>
      <c r="G105" s="149"/>
      <c r="H105" s="144"/>
      <c r="I105" s="149"/>
      <c r="J105" s="144"/>
      <c r="K105" s="149"/>
      <c r="L105" s="144"/>
      <c r="M105" s="151"/>
      <c r="N105" s="68"/>
      <c r="O105" s="146"/>
      <c r="P105" s="147"/>
      <c r="Q105" s="147"/>
      <c r="R105" s="107"/>
      <c r="S105" s="107"/>
      <c r="T105" s="107"/>
      <c r="U105" s="76"/>
      <c r="V105" s="107"/>
      <c r="W105" s="107"/>
      <c r="X105" s="76"/>
      <c r="Y105" s="107"/>
      <c r="Z105" s="76"/>
      <c r="AA105" s="76"/>
      <c r="AB105" s="76"/>
      <c r="AC105" s="81"/>
      <c r="AF105" s="13"/>
      <c r="AG105" s="13"/>
      <c r="AH105" s="13"/>
      <c r="AI105" s="13"/>
      <c r="AJ105" s="13"/>
    </row>
    <row r="106" spans="2:36" s="12" customFormat="1" ht="14" customHeight="1" x14ac:dyDescent="0.15">
      <c r="B106" s="75"/>
      <c r="C106" s="82">
        <v>12</v>
      </c>
      <c r="D106" s="143"/>
      <c r="E106" s="144"/>
      <c r="F106" s="200"/>
      <c r="G106" s="201"/>
      <c r="H106" s="144"/>
      <c r="I106" s="143"/>
      <c r="J106" s="144"/>
      <c r="K106" s="143"/>
      <c r="L106" s="144"/>
      <c r="M106" s="145"/>
      <c r="N106" s="68"/>
      <c r="O106" s="146"/>
      <c r="P106" s="147"/>
      <c r="Q106" s="147"/>
      <c r="R106" s="107"/>
      <c r="S106" s="107"/>
      <c r="T106" s="107"/>
      <c r="U106" s="76"/>
      <c r="V106" s="107"/>
      <c r="W106" s="107"/>
      <c r="X106" s="76"/>
      <c r="Y106" s="107"/>
      <c r="Z106" s="76"/>
      <c r="AA106" s="76"/>
      <c r="AB106" s="76"/>
      <c r="AC106" s="81"/>
      <c r="AF106" s="13">
        <f>(D106+F106+I106-K106)*M106</f>
        <v>0</v>
      </c>
      <c r="AG106" s="13"/>
      <c r="AH106" s="13"/>
      <c r="AI106" s="13"/>
      <c r="AJ106" s="13"/>
    </row>
    <row r="107" spans="2:36" s="12" customFormat="1" ht="2" customHeight="1" x14ac:dyDescent="0.15">
      <c r="B107" s="75"/>
      <c r="C107" s="82"/>
      <c r="D107" s="149"/>
      <c r="E107" s="149"/>
      <c r="F107" s="149"/>
      <c r="G107" s="149"/>
      <c r="H107" s="149"/>
      <c r="I107" s="149"/>
      <c r="J107" s="149"/>
      <c r="K107" s="150"/>
      <c r="L107" s="149"/>
      <c r="M107" s="151"/>
      <c r="N107" s="82"/>
      <c r="O107" s="152"/>
      <c r="P107" s="147"/>
      <c r="Q107" s="147"/>
      <c r="R107" s="147"/>
      <c r="S107" s="76"/>
      <c r="T107" s="141"/>
      <c r="U107" s="141"/>
      <c r="V107" s="141"/>
      <c r="W107" s="141"/>
      <c r="X107" s="141"/>
      <c r="Y107" s="107"/>
      <c r="Z107" s="141"/>
      <c r="AA107" s="141"/>
      <c r="AB107" s="141"/>
      <c r="AC107" s="81"/>
      <c r="AF107" s="13"/>
      <c r="AG107" s="13"/>
      <c r="AH107" s="13"/>
      <c r="AI107" s="13"/>
      <c r="AJ107" s="13"/>
    </row>
    <row r="108" spans="2:36" s="12" customFormat="1" ht="14" customHeight="1" x14ac:dyDescent="0.15">
      <c r="B108" s="75"/>
      <c r="C108" s="82">
        <v>13</v>
      </c>
      <c r="D108" s="143"/>
      <c r="E108" s="144"/>
      <c r="F108" s="200"/>
      <c r="G108" s="201"/>
      <c r="H108" s="144"/>
      <c r="I108" s="143"/>
      <c r="J108" s="144"/>
      <c r="K108" s="143"/>
      <c r="L108" s="144"/>
      <c r="M108" s="145"/>
      <c r="N108" s="68"/>
      <c r="O108" s="146"/>
      <c r="P108" s="147"/>
      <c r="Q108" s="147"/>
      <c r="R108" s="147"/>
      <c r="S108" s="147"/>
      <c r="T108" s="147"/>
      <c r="U108" s="147"/>
      <c r="V108" s="147"/>
      <c r="W108" s="147"/>
      <c r="X108" s="147"/>
      <c r="Y108" s="147"/>
      <c r="Z108" s="147"/>
      <c r="AA108" s="147"/>
      <c r="AB108" s="147"/>
      <c r="AC108" s="81"/>
      <c r="AF108" s="13">
        <f>(D108+F108+I108-K108)*M108</f>
        <v>0</v>
      </c>
      <c r="AG108" s="13"/>
      <c r="AH108" s="13"/>
      <c r="AI108" s="13"/>
      <c r="AJ108" s="13"/>
    </row>
    <row r="109" spans="2:36" s="12" customFormat="1" ht="2" customHeight="1" x14ac:dyDescent="0.15">
      <c r="B109" s="75"/>
      <c r="C109" s="82"/>
      <c r="D109" s="149"/>
      <c r="E109" s="149"/>
      <c r="F109" s="149"/>
      <c r="G109" s="149"/>
      <c r="H109" s="149"/>
      <c r="I109" s="149"/>
      <c r="J109" s="149"/>
      <c r="K109" s="150"/>
      <c r="L109" s="149"/>
      <c r="M109" s="151"/>
      <c r="N109" s="82"/>
      <c r="O109" s="152"/>
      <c r="P109" s="147"/>
      <c r="Q109" s="147"/>
      <c r="R109" s="147"/>
      <c r="S109" s="76"/>
      <c r="T109" s="141"/>
      <c r="U109" s="141"/>
      <c r="V109" s="141"/>
      <c r="W109" s="141"/>
      <c r="X109" s="141"/>
      <c r="Y109" s="107"/>
      <c r="Z109" s="141"/>
      <c r="AA109" s="141"/>
      <c r="AB109" s="141"/>
      <c r="AC109" s="81"/>
      <c r="AF109" s="13"/>
      <c r="AG109" s="13"/>
      <c r="AH109" s="13"/>
      <c r="AI109" s="13"/>
      <c r="AJ109" s="13"/>
    </row>
    <row r="110" spans="2:36" s="12" customFormat="1" ht="14" customHeight="1" x14ac:dyDescent="0.2">
      <c r="B110" s="75"/>
      <c r="C110" s="82">
        <v>14</v>
      </c>
      <c r="D110" s="143"/>
      <c r="E110" s="144"/>
      <c r="F110" s="200"/>
      <c r="G110" s="201"/>
      <c r="H110" s="144"/>
      <c r="I110" s="143"/>
      <c r="J110" s="144"/>
      <c r="K110" s="143"/>
      <c r="L110" s="144"/>
      <c r="M110" s="145"/>
      <c r="N110" s="68"/>
      <c r="O110" s="146"/>
      <c r="P110" s="76"/>
      <c r="Q110" s="76"/>
      <c r="R110" s="76"/>
      <c r="S110" s="76"/>
      <c r="T110" s="199" t="str">
        <f>IF(AG84,"",AJ84)</f>
        <v/>
      </c>
      <c r="U110" s="199"/>
      <c r="V110" s="199"/>
      <c r="W110" s="199"/>
      <c r="X110" s="199"/>
      <c r="Y110" s="199"/>
      <c r="Z110" s="199"/>
      <c r="AA110" s="76"/>
      <c r="AB110" s="107"/>
      <c r="AC110" s="81"/>
      <c r="AF110" s="13">
        <f>(D110+F110+I110-K110)*M110</f>
        <v>0</v>
      </c>
      <c r="AG110" s="13"/>
      <c r="AH110" s="13"/>
      <c r="AI110" s="13"/>
      <c r="AJ110" s="13"/>
    </row>
    <row r="111" spans="2:36" s="12" customFormat="1" ht="2" customHeight="1" x14ac:dyDescent="0.15">
      <c r="B111" s="75"/>
      <c r="C111" s="82"/>
      <c r="D111" s="149"/>
      <c r="E111" s="149"/>
      <c r="F111" s="149"/>
      <c r="G111" s="149"/>
      <c r="H111" s="149"/>
      <c r="I111" s="149"/>
      <c r="J111" s="149"/>
      <c r="K111" s="150"/>
      <c r="L111" s="149"/>
      <c r="M111" s="151"/>
      <c r="N111" s="82"/>
      <c r="O111" s="152"/>
      <c r="P111" s="147"/>
      <c r="Q111" s="147"/>
      <c r="R111" s="147"/>
      <c r="S111" s="76"/>
      <c r="T111" s="199"/>
      <c r="U111" s="199"/>
      <c r="V111" s="199"/>
      <c r="W111" s="199"/>
      <c r="X111" s="199"/>
      <c r="Y111" s="199"/>
      <c r="Z111" s="199"/>
      <c r="AA111" s="141"/>
      <c r="AB111" s="141"/>
      <c r="AC111" s="81"/>
      <c r="AF111" s="13"/>
      <c r="AG111" s="13"/>
      <c r="AH111" s="13"/>
      <c r="AI111" s="13"/>
      <c r="AJ111" s="13"/>
    </row>
    <row r="112" spans="2:36" s="12" customFormat="1" ht="14" customHeight="1" x14ac:dyDescent="0.15">
      <c r="B112" s="75"/>
      <c r="C112" s="82">
        <v>15</v>
      </c>
      <c r="D112" s="143"/>
      <c r="E112" s="144"/>
      <c r="F112" s="200"/>
      <c r="G112" s="201"/>
      <c r="H112" s="144"/>
      <c r="I112" s="143"/>
      <c r="J112" s="144"/>
      <c r="K112" s="143"/>
      <c r="L112" s="144"/>
      <c r="M112" s="145"/>
      <c r="N112" s="68"/>
      <c r="O112" s="146"/>
      <c r="P112" s="104"/>
      <c r="Q112" s="104"/>
      <c r="R112" s="104"/>
      <c r="S112" s="104"/>
      <c r="T112" s="199"/>
      <c r="U112" s="199"/>
      <c r="V112" s="199"/>
      <c r="W112" s="199"/>
      <c r="X112" s="199"/>
      <c r="Y112" s="199"/>
      <c r="Z112" s="199"/>
      <c r="AA112" s="107"/>
      <c r="AB112" s="141"/>
      <c r="AC112" s="81"/>
      <c r="AF112" s="13">
        <f>(D112+F112+I112-K112)*M112</f>
        <v>0</v>
      </c>
      <c r="AG112" s="13"/>
      <c r="AI112" s="13"/>
      <c r="AJ112" s="13"/>
    </row>
    <row r="113" spans="2:57" s="12" customFormat="1" ht="11" customHeight="1" x14ac:dyDescent="0.15">
      <c r="B113" s="75"/>
      <c r="C113" s="76"/>
      <c r="D113" s="76"/>
      <c r="E113" s="76"/>
      <c r="F113" s="76"/>
      <c r="G113" s="76"/>
      <c r="H113" s="76"/>
      <c r="I113" s="76"/>
      <c r="J113" s="76"/>
      <c r="K113" s="76"/>
      <c r="L113" s="76"/>
      <c r="M113" s="76"/>
      <c r="N113" s="76"/>
      <c r="O113" s="76"/>
      <c r="P113" s="76"/>
      <c r="Q113" s="76"/>
      <c r="R113" s="76"/>
      <c r="S113" s="76"/>
      <c r="T113" s="107"/>
      <c r="U113" s="107"/>
      <c r="V113" s="107"/>
      <c r="W113" s="82"/>
      <c r="X113" s="76"/>
      <c r="Y113" s="159"/>
      <c r="Z113" s="160"/>
      <c r="AA113" s="160"/>
      <c r="AB113" s="161"/>
      <c r="AC113" s="81"/>
      <c r="AF113" s="13"/>
      <c r="AG113" s="13"/>
      <c r="AH113" s="13"/>
      <c r="AI113" s="13"/>
      <c r="AJ113" s="13"/>
    </row>
    <row r="114" spans="2:57" s="12" customFormat="1" ht="15" customHeight="1" x14ac:dyDescent="0.15">
      <c r="B114" s="75"/>
      <c r="C114" s="76"/>
      <c r="D114" s="76"/>
      <c r="E114" s="76"/>
      <c r="F114" s="76"/>
      <c r="G114" s="76"/>
      <c r="H114" s="76"/>
      <c r="I114" s="76"/>
      <c r="J114" s="76"/>
      <c r="K114" s="76"/>
      <c r="L114" s="76"/>
      <c r="M114" s="76"/>
      <c r="N114" s="76"/>
      <c r="O114" s="76"/>
      <c r="P114" s="76"/>
      <c r="Q114" s="76"/>
      <c r="R114" s="76"/>
      <c r="S114" s="76"/>
      <c r="T114" s="107"/>
      <c r="U114" s="107"/>
      <c r="V114" s="107"/>
      <c r="W114" s="82"/>
      <c r="X114" s="76"/>
      <c r="Y114" s="159"/>
      <c r="Z114" s="160"/>
      <c r="AA114" s="160"/>
      <c r="AB114" s="161"/>
      <c r="AC114" s="81"/>
      <c r="AF114" s="12">
        <f>SUM(AF84:AF112)</f>
        <v>0</v>
      </c>
      <c r="AG114" s="61" t="s">
        <v>201</v>
      </c>
      <c r="AH114" s="13"/>
      <c r="AI114" s="13"/>
      <c r="AJ114" s="13"/>
    </row>
    <row r="115" spans="2:57" s="12" customFormat="1" ht="11" customHeight="1" x14ac:dyDescent="0.15">
      <c r="B115" s="75"/>
      <c r="C115" s="76"/>
      <c r="D115" s="76"/>
      <c r="E115" s="76"/>
      <c r="F115" s="76"/>
      <c r="G115" s="82"/>
      <c r="H115" s="162"/>
      <c r="I115" s="162"/>
      <c r="J115" s="162"/>
      <c r="K115" s="67"/>
      <c r="L115" s="76"/>
      <c r="M115" s="76"/>
      <c r="N115" s="76"/>
      <c r="O115" s="76"/>
      <c r="P115" s="76"/>
      <c r="Q115" s="107"/>
      <c r="R115" s="107"/>
      <c r="S115" s="107"/>
      <c r="T115" s="82"/>
      <c r="U115" s="89"/>
      <c r="V115" s="89"/>
      <c r="W115" s="76"/>
      <c r="X115" s="76"/>
      <c r="Y115" s="159"/>
      <c r="Z115" s="163"/>
      <c r="AA115" s="160"/>
      <c r="AB115" s="161"/>
      <c r="AC115" s="81"/>
      <c r="AF115" s="13"/>
      <c r="AG115" s="13"/>
    </row>
    <row r="116" spans="2:57" s="14" customFormat="1" ht="20" customHeight="1" thickBot="1" x14ac:dyDescent="0.25">
      <c r="B116" s="54" t="s">
        <v>217</v>
      </c>
      <c r="C116" s="55"/>
      <c r="D116" s="55"/>
      <c r="E116" s="55"/>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7"/>
      <c r="AE116" s="19"/>
      <c r="AF116" s="16"/>
      <c r="AG116" s="12"/>
      <c r="AH116" s="12"/>
      <c r="AI116" s="12"/>
      <c r="AJ116" s="12"/>
      <c r="AK116" s="12"/>
      <c r="AL116" s="12"/>
      <c r="AM116" s="12"/>
      <c r="AN116" s="12"/>
      <c r="AO116" s="44"/>
      <c r="AP116" s="12"/>
      <c r="AQ116" s="12"/>
      <c r="AR116" s="12"/>
      <c r="AS116" s="12"/>
      <c r="AT116" s="12"/>
      <c r="AU116" s="12"/>
      <c r="AV116" s="12"/>
      <c r="AW116" s="12"/>
      <c r="AX116" s="44"/>
      <c r="AY116" s="43"/>
      <c r="AZ116" s="43"/>
      <c r="BA116" s="43"/>
      <c r="BB116" s="43"/>
      <c r="BC116" s="43"/>
      <c r="BD116" s="43"/>
      <c r="BE116" s="43"/>
    </row>
    <row r="117" spans="2:57" s="14" customFormat="1" ht="20" customHeight="1" x14ac:dyDescent="0.2">
      <c r="B117" s="195" t="s">
        <v>210</v>
      </c>
      <c r="C117" s="196"/>
      <c r="D117" s="196"/>
      <c r="E117" s="196"/>
      <c r="F117" s="196"/>
      <c r="G117" s="196"/>
      <c r="H117" s="196"/>
      <c r="I117" s="196"/>
      <c r="J117" s="196"/>
      <c r="K117" s="196"/>
      <c r="L117" s="89"/>
      <c r="M117" s="89"/>
      <c r="N117" s="89"/>
      <c r="O117" s="89"/>
      <c r="P117" s="89"/>
      <c r="Q117" s="89"/>
      <c r="R117" s="89"/>
      <c r="S117" s="89"/>
      <c r="T117" s="89"/>
      <c r="U117" s="89"/>
      <c r="V117" s="89"/>
      <c r="W117" s="89"/>
      <c r="X117" s="164"/>
      <c r="Y117" s="164" t="s">
        <v>36</v>
      </c>
      <c r="Z117" s="89"/>
      <c r="AA117" s="89"/>
      <c r="AB117" s="191"/>
      <c r="AC117" s="192"/>
      <c r="AE117" s="19"/>
      <c r="AF117" s="16"/>
      <c r="AG117" s="12"/>
      <c r="AH117" s="12"/>
      <c r="AI117" s="12"/>
      <c r="AJ117" s="12"/>
      <c r="AK117" s="12"/>
      <c r="AL117" s="12"/>
      <c r="AM117" s="12"/>
      <c r="AN117" s="12"/>
      <c r="AO117" s="44"/>
      <c r="AP117" s="12"/>
      <c r="AQ117" s="12"/>
      <c r="AR117" s="12"/>
      <c r="AS117" s="12"/>
      <c r="AT117" s="12"/>
      <c r="AU117" s="12"/>
      <c r="AV117" s="12"/>
      <c r="AW117" s="12"/>
      <c r="AX117" s="44"/>
      <c r="AY117" s="43"/>
      <c r="AZ117" s="43"/>
      <c r="BA117" s="43"/>
      <c r="BB117" s="43"/>
      <c r="BC117" s="43"/>
      <c r="BD117" s="43"/>
      <c r="BE117" s="43"/>
    </row>
    <row r="118" spans="2:57" s="14" customFormat="1" ht="20" customHeight="1" x14ac:dyDescent="0.2">
      <c r="B118" s="197" t="s">
        <v>211</v>
      </c>
      <c r="C118" s="67"/>
      <c r="D118" s="67"/>
      <c r="E118" s="67"/>
      <c r="F118" s="67"/>
      <c r="G118" s="67"/>
      <c r="H118" s="67"/>
      <c r="I118" s="67"/>
      <c r="J118" s="67"/>
      <c r="K118" s="67"/>
      <c r="L118" s="89"/>
      <c r="M118" s="89"/>
      <c r="N118" s="89"/>
      <c r="O118" s="89"/>
      <c r="P118" s="89"/>
      <c r="Q118" s="89"/>
      <c r="R118" s="89"/>
      <c r="S118" s="89"/>
      <c r="T118" s="89"/>
      <c r="U118" s="89"/>
      <c r="V118" s="89"/>
      <c r="W118" s="89"/>
      <c r="X118" s="164"/>
      <c r="Y118" s="164" t="s">
        <v>36</v>
      </c>
      <c r="Z118" s="89"/>
      <c r="AA118" s="89"/>
      <c r="AB118" s="191"/>
      <c r="AC118" s="192"/>
      <c r="AE118" s="19"/>
      <c r="AF118" s="16"/>
      <c r="AG118" s="12"/>
      <c r="AH118" s="12"/>
      <c r="AI118" s="12"/>
      <c r="AJ118" s="12"/>
      <c r="AK118" s="12"/>
      <c r="AL118" s="12"/>
      <c r="AM118" s="12"/>
      <c r="AN118" s="12"/>
      <c r="AO118" s="44"/>
      <c r="AP118" s="12"/>
      <c r="AQ118" s="12"/>
      <c r="AR118" s="12"/>
      <c r="AS118" s="12"/>
      <c r="AT118" s="12"/>
      <c r="AU118" s="12"/>
      <c r="AV118" s="12"/>
      <c r="AW118" s="12"/>
      <c r="AX118" s="44"/>
      <c r="AY118" s="43"/>
      <c r="AZ118" s="43"/>
      <c r="BA118" s="43"/>
      <c r="BB118" s="43"/>
      <c r="BC118" s="43"/>
      <c r="BD118" s="43"/>
      <c r="BE118" s="43"/>
    </row>
    <row r="119" spans="2:57" s="14" customFormat="1" ht="20" customHeight="1" x14ac:dyDescent="0.2">
      <c r="B119" s="197" t="s">
        <v>212</v>
      </c>
      <c r="C119" s="67"/>
      <c r="D119" s="67"/>
      <c r="E119" s="67"/>
      <c r="F119" s="67"/>
      <c r="G119" s="67"/>
      <c r="H119" s="67"/>
      <c r="I119" s="67"/>
      <c r="J119" s="67"/>
      <c r="K119" s="67"/>
      <c r="L119" s="89"/>
      <c r="M119" s="89"/>
      <c r="N119" s="89"/>
      <c r="O119" s="89"/>
      <c r="P119" s="89"/>
      <c r="Q119" s="89"/>
      <c r="R119" s="89"/>
      <c r="S119" s="89"/>
      <c r="T119" s="89"/>
      <c r="U119" s="89"/>
      <c r="V119" s="89"/>
      <c r="W119" s="89"/>
      <c r="X119" s="164"/>
      <c r="Y119" s="164" t="s">
        <v>36</v>
      </c>
      <c r="Z119" s="89"/>
      <c r="AA119" s="89"/>
      <c r="AB119" s="191"/>
      <c r="AC119" s="192"/>
      <c r="AE119" s="19"/>
      <c r="AF119" s="16"/>
      <c r="AG119" s="12"/>
      <c r="AH119" s="12"/>
      <c r="AI119" s="12"/>
      <c r="AJ119" s="12"/>
      <c r="AK119" s="12"/>
      <c r="AL119" s="12"/>
      <c r="AM119" s="12"/>
      <c r="AN119" s="12"/>
      <c r="AO119" s="44"/>
      <c r="AP119" s="12"/>
      <c r="AQ119" s="12"/>
      <c r="AR119" s="12"/>
      <c r="AS119" s="12"/>
      <c r="AT119" s="12"/>
      <c r="AU119" s="12"/>
      <c r="AV119" s="12"/>
      <c r="AW119" s="12"/>
      <c r="AX119" s="44"/>
      <c r="AY119" s="43"/>
      <c r="AZ119" s="43"/>
      <c r="BA119" s="43"/>
      <c r="BB119" s="43"/>
      <c r="BC119" s="43"/>
      <c r="BD119" s="43"/>
      <c r="BE119" s="43"/>
    </row>
    <row r="120" spans="2:57" s="14" customFormat="1" ht="20" customHeight="1" thickBot="1" x14ac:dyDescent="0.25">
      <c r="B120" s="198" t="s">
        <v>213</v>
      </c>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t="s">
        <v>36</v>
      </c>
      <c r="Z120" s="193"/>
      <c r="AA120" s="193"/>
      <c r="AB120" s="193"/>
      <c r="AC120" s="194"/>
      <c r="AE120" s="19"/>
      <c r="AF120" s="16" t="str">
        <f>IF(V102,"useful heat, in which a direct physical substitution of coal can be demonstrated (124 gCO2eq/MJ heat)","")</f>
        <v/>
      </c>
      <c r="AG120" s="12"/>
      <c r="AH120" s="12"/>
      <c r="AI120" s="12"/>
      <c r="AJ120" s="12"/>
      <c r="AK120" s="12"/>
      <c r="AL120" s="12"/>
      <c r="AM120" s="12"/>
      <c r="AN120" s="12"/>
      <c r="AO120" s="44"/>
      <c r="AP120" s="12"/>
      <c r="AQ120" s="12"/>
      <c r="AR120" s="12"/>
      <c r="AS120" s="12"/>
      <c r="AT120" s="12"/>
      <c r="AU120" s="12"/>
      <c r="AV120" s="12"/>
      <c r="AW120" s="12"/>
      <c r="AX120" s="44"/>
      <c r="AY120" s="43"/>
      <c r="AZ120" s="43"/>
      <c r="BA120" s="43"/>
      <c r="BB120" s="43"/>
      <c r="BC120" s="43"/>
      <c r="BD120" s="43"/>
      <c r="BE120" s="43"/>
    </row>
    <row r="121" spans="2:57" s="12" customFormat="1" ht="2" customHeight="1" x14ac:dyDescent="0.2">
      <c r="B121" s="75"/>
      <c r="C121" s="76"/>
      <c r="D121" s="67"/>
      <c r="E121" s="67"/>
      <c r="F121" s="67"/>
      <c r="G121" s="67"/>
      <c r="H121" s="67"/>
      <c r="I121" s="67"/>
      <c r="J121" s="67"/>
      <c r="K121" s="67"/>
      <c r="L121" s="67"/>
      <c r="M121" s="67"/>
      <c r="N121" s="67"/>
      <c r="O121" s="67"/>
      <c r="P121" s="67"/>
      <c r="Q121" s="67"/>
      <c r="R121" s="67"/>
      <c r="S121" s="67"/>
      <c r="T121" s="67"/>
      <c r="U121" s="68"/>
      <c r="V121" s="68"/>
      <c r="W121" s="68"/>
      <c r="X121" s="68"/>
      <c r="Y121" s="68"/>
      <c r="Z121" s="68"/>
      <c r="AA121" s="76"/>
      <c r="AB121" s="76"/>
      <c r="AC121" s="81"/>
      <c r="AF121" s="13"/>
    </row>
    <row r="122" spans="2:57" s="12" customFormat="1" ht="42" customHeight="1" thickBot="1" x14ac:dyDescent="0.25">
      <c r="B122" s="165"/>
      <c r="C122" s="166"/>
      <c r="D122" s="204" t="str">
        <f>IF(AG18,"Not valid without ID number of the ISCC certificate above", "This form is valid without signature. By issuing this PoS, the issuing party guarantees that all information made on this Proof of Sustainability are correct, in compliance with the requirements of ISCC and the RED," &amp; " and that the biofuel or bioliquid has not already been used to fulfil a national quota obligation.")</f>
        <v>Not valid without ID number of the ISCC certificate above</v>
      </c>
      <c r="E122" s="204"/>
      <c r="F122" s="204"/>
      <c r="G122" s="204"/>
      <c r="H122" s="204"/>
      <c r="I122" s="204"/>
      <c r="J122" s="204"/>
      <c r="K122" s="204"/>
      <c r="L122" s="204"/>
      <c r="M122" s="204"/>
      <c r="N122" s="204"/>
      <c r="O122" s="204"/>
      <c r="P122" s="204"/>
      <c r="Q122" s="204"/>
      <c r="R122" s="204"/>
      <c r="S122" s="204"/>
      <c r="T122" s="204"/>
      <c r="U122" s="204"/>
      <c r="V122" s="204"/>
      <c r="W122" s="204"/>
      <c r="X122" s="204"/>
      <c r="Y122" s="167"/>
      <c r="Z122" s="167"/>
      <c r="AA122" s="167"/>
      <c r="AB122" s="167"/>
      <c r="AC122" s="168"/>
      <c r="AF122" s="13"/>
    </row>
    <row r="123" spans="2:57" ht="9" customHeight="1" x14ac:dyDescent="0.2">
      <c r="AE123" s="1"/>
      <c r="AF123" s="4"/>
      <c r="AG123" s="4"/>
      <c r="AH123" s="3"/>
      <c r="AI123" s="3"/>
    </row>
    <row r="124" spans="2:57" ht="8" customHeight="1" thickBot="1" x14ac:dyDescent="0.25">
      <c r="AE124" s="29"/>
      <c r="AF124" s="4"/>
      <c r="AG124" s="4"/>
      <c r="AH124" s="3"/>
      <c r="AI124" s="3"/>
    </row>
    <row r="125" spans="2:57" ht="20" customHeight="1" thickBot="1" x14ac:dyDescent="0.25">
      <c r="B125" s="23" t="s">
        <v>37</v>
      </c>
      <c r="C125" s="24"/>
      <c r="D125" s="24"/>
      <c r="E125" s="24"/>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6"/>
    </row>
    <row r="126" spans="2:57" ht="33" customHeight="1" x14ac:dyDescent="0.15">
      <c r="B126" s="169"/>
      <c r="C126" s="170"/>
      <c r="D126" s="207" t="s">
        <v>207</v>
      </c>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c r="AA126" s="207"/>
      <c r="AB126" s="207"/>
      <c r="AC126" s="171"/>
    </row>
    <row r="127" spans="2:57" ht="33" customHeight="1" x14ac:dyDescent="0.2">
      <c r="B127" s="172"/>
      <c r="C127" s="82"/>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c r="AA127" s="199"/>
      <c r="AB127" s="173"/>
      <c r="AC127" s="174"/>
    </row>
    <row r="128" spans="2:57" ht="15" customHeight="1" x14ac:dyDescent="0.2">
      <c r="B128" s="172"/>
      <c r="C128" s="82"/>
      <c r="D128" s="82"/>
      <c r="E128" s="82"/>
      <c r="F128" s="82"/>
      <c r="G128" s="82"/>
      <c r="H128" s="82"/>
      <c r="I128" s="82"/>
      <c r="J128" s="82"/>
      <c r="K128" s="82"/>
      <c r="L128" s="82"/>
      <c r="M128" s="82"/>
      <c r="N128" s="82"/>
      <c r="O128" s="82"/>
      <c r="P128" s="82"/>
      <c r="Q128" s="82"/>
      <c r="R128" s="82"/>
      <c r="S128" s="82"/>
      <c r="T128" s="89"/>
      <c r="U128" s="89"/>
      <c r="V128" s="89"/>
      <c r="W128" s="173"/>
      <c r="X128" s="173"/>
      <c r="Y128" s="173"/>
      <c r="Z128" s="173"/>
      <c r="AA128" s="173"/>
      <c r="AB128" s="173"/>
      <c r="AC128" s="174"/>
    </row>
    <row r="129" spans="2:34" ht="14" customHeight="1" x14ac:dyDescent="0.2">
      <c r="B129" s="175"/>
      <c r="C129" s="82"/>
      <c r="D129" s="82" t="s">
        <v>33</v>
      </c>
      <c r="E129" s="82"/>
      <c r="F129" s="76" t="s">
        <v>82</v>
      </c>
      <c r="G129" s="76" t="s">
        <v>66</v>
      </c>
      <c r="H129" s="76"/>
      <c r="I129" s="76"/>
      <c r="J129" s="76"/>
      <c r="K129" s="76"/>
      <c r="L129" s="76"/>
      <c r="M129" s="76"/>
      <c r="N129" s="76"/>
      <c r="O129" s="76"/>
      <c r="P129" s="76"/>
      <c r="Q129" s="76"/>
      <c r="R129" s="76"/>
      <c r="S129" s="76"/>
      <c r="T129" s="76"/>
      <c r="U129" s="76"/>
      <c r="V129" s="76"/>
      <c r="W129" s="76"/>
      <c r="X129" s="76"/>
      <c r="Y129" s="76"/>
      <c r="Z129" s="76"/>
      <c r="AA129" s="76"/>
      <c r="AB129" s="76"/>
      <c r="AC129" s="81"/>
      <c r="AD129" s="3"/>
      <c r="AF129" s="1"/>
    </row>
    <row r="130" spans="2:34" ht="3" customHeight="1" x14ac:dyDescent="0.2">
      <c r="B130" s="175"/>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176"/>
      <c r="AD130" s="3"/>
      <c r="AF130" s="1"/>
    </row>
    <row r="131" spans="2:34" ht="26" customHeight="1" x14ac:dyDescent="0.2">
      <c r="B131" s="175"/>
      <c r="C131" s="82"/>
      <c r="D131" s="82" t="s">
        <v>69</v>
      </c>
      <c r="E131" s="82"/>
      <c r="F131" s="76" t="s">
        <v>82</v>
      </c>
      <c r="G131" s="205" t="s">
        <v>85</v>
      </c>
      <c r="H131" s="205"/>
      <c r="I131" s="205"/>
      <c r="J131" s="205"/>
      <c r="K131" s="205"/>
      <c r="L131" s="205"/>
      <c r="M131" s="205"/>
      <c r="N131" s="205"/>
      <c r="O131" s="205"/>
      <c r="P131" s="205"/>
      <c r="Q131" s="205"/>
      <c r="R131" s="205"/>
      <c r="S131" s="205"/>
      <c r="T131" s="205"/>
      <c r="U131" s="205"/>
      <c r="V131" s="205"/>
      <c r="W131" s="205"/>
      <c r="X131" s="205"/>
      <c r="Y131" s="205"/>
      <c r="Z131" s="205"/>
      <c r="AA131" s="205"/>
      <c r="AB131" s="205"/>
      <c r="AC131" s="176"/>
      <c r="AD131" s="3"/>
      <c r="AF131" s="1"/>
    </row>
    <row r="132" spans="2:34" ht="4" customHeight="1" x14ac:dyDescent="0.2">
      <c r="B132" s="175"/>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c r="AA132" s="82"/>
      <c r="AB132" s="82"/>
      <c r="AC132" s="176"/>
      <c r="AD132" s="3"/>
      <c r="AF132" s="1"/>
    </row>
    <row r="133" spans="2:34" ht="14" customHeight="1" x14ac:dyDescent="0.2">
      <c r="B133" s="175"/>
      <c r="C133" s="102"/>
      <c r="D133" s="67" t="s">
        <v>67</v>
      </c>
      <c r="E133" s="67"/>
      <c r="F133" s="76" t="s">
        <v>82</v>
      </c>
      <c r="G133" s="76" t="s">
        <v>29</v>
      </c>
      <c r="H133" s="76"/>
      <c r="I133" s="76"/>
      <c r="J133" s="76"/>
      <c r="K133" s="76"/>
      <c r="L133" s="76"/>
      <c r="M133" s="76"/>
      <c r="N133" s="76"/>
      <c r="O133" s="76"/>
      <c r="P133" s="76"/>
      <c r="Q133" s="76"/>
      <c r="R133" s="76"/>
      <c r="S133" s="76"/>
      <c r="T133" s="76"/>
      <c r="U133" s="76"/>
      <c r="V133" s="76"/>
      <c r="W133" s="76"/>
      <c r="X133" s="76"/>
      <c r="Y133" s="76"/>
      <c r="Z133" s="76"/>
      <c r="AA133" s="76"/>
      <c r="AB133" s="76"/>
      <c r="AC133" s="81"/>
      <c r="AD133" s="3"/>
      <c r="AF133" s="1"/>
    </row>
    <row r="134" spans="2:34" ht="3" customHeight="1" x14ac:dyDescent="0.2">
      <c r="B134" s="175"/>
      <c r="C134" s="102"/>
      <c r="D134" s="82"/>
      <c r="E134" s="82"/>
      <c r="F134" s="76"/>
      <c r="G134" s="76"/>
      <c r="H134" s="76"/>
      <c r="I134" s="76"/>
      <c r="J134" s="76"/>
      <c r="K134" s="76"/>
      <c r="L134" s="76"/>
      <c r="M134" s="76"/>
      <c r="N134" s="76"/>
      <c r="O134" s="76"/>
      <c r="P134" s="76"/>
      <c r="Q134" s="76"/>
      <c r="R134" s="76"/>
      <c r="S134" s="76"/>
      <c r="T134" s="76"/>
      <c r="U134" s="76"/>
      <c r="V134" s="76"/>
      <c r="W134" s="76"/>
      <c r="X134" s="76"/>
      <c r="Y134" s="76"/>
      <c r="Z134" s="76"/>
      <c r="AA134" s="76"/>
      <c r="AB134" s="76"/>
      <c r="AC134" s="176"/>
      <c r="AD134" s="3"/>
      <c r="AF134" s="1"/>
    </row>
    <row r="135" spans="2:34" ht="14" customHeight="1" x14ac:dyDescent="0.2">
      <c r="B135" s="175"/>
      <c r="C135" s="82"/>
      <c r="D135" s="76" t="s">
        <v>83</v>
      </c>
      <c r="E135" s="76"/>
      <c r="F135" s="89"/>
      <c r="G135" s="76" t="s">
        <v>70</v>
      </c>
      <c r="H135" s="76"/>
      <c r="I135" s="76"/>
      <c r="J135" s="76"/>
      <c r="K135" s="76"/>
      <c r="L135" s="76"/>
      <c r="M135" s="76"/>
      <c r="N135" s="76"/>
      <c r="O135" s="76"/>
      <c r="P135" s="76"/>
      <c r="Q135" s="76"/>
      <c r="R135" s="76"/>
      <c r="S135" s="76"/>
      <c r="T135" s="76"/>
      <c r="U135" s="76"/>
      <c r="V135" s="76"/>
      <c r="W135" s="76"/>
      <c r="X135" s="76"/>
      <c r="Y135" s="76"/>
      <c r="Z135" s="76"/>
      <c r="AA135" s="76"/>
      <c r="AB135" s="76"/>
      <c r="AC135" s="176"/>
      <c r="AD135" s="3"/>
      <c r="AF135" s="1"/>
    </row>
    <row r="136" spans="2:34" ht="3" customHeight="1" x14ac:dyDescent="0.2">
      <c r="B136" s="175"/>
      <c r="C136" s="82"/>
      <c r="D136" s="82"/>
      <c r="E136" s="82"/>
      <c r="F136" s="102"/>
      <c r="G136" s="102"/>
      <c r="H136" s="82"/>
      <c r="I136" s="82"/>
      <c r="J136" s="82"/>
      <c r="K136" s="82"/>
      <c r="L136" s="82"/>
      <c r="M136" s="82"/>
      <c r="N136" s="82"/>
      <c r="O136" s="82"/>
      <c r="P136" s="82"/>
      <c r="Q136" s="82"/>
      <c r="R136" s="82"/>
      <c r="S136" s="82"/>
      <c r="T136" s="82"/>
      <c r="U136" s="82"/>
      <c r="V136" s="173"/>
      <c r="W136" s="173"/>
      <c r="X136" s="173"/>
      <c r="Y136" s="173"/>
      <c r="Z136" s="173"/>
      <c r="AA136" s="173"/>
      <c r="AB136" s="173"/>
      <c r="AC136" s="174"/>
      <c r="AD136" s="3"/>
      <c r="AF136" s="1"/>
    </row>
    <row r="137" spans="2:34" ht="14" customHeight="1" x14ac:dyDescent="0.2">
      <c r="B137" s="175"/>
      <c r="C137" s="82"/>
      <c r="D137" s="67" t="s">
        <v>68</v>
      </c>
      <c r="E137" s="67"/>
      <c r="F137" s="83" t="s">
        <v>82</v>
      </c>
      <c r="G137" s="111" t="s">
        <v>84</v>
      </c>
      <c r="H137" s="83"/>
      <c r="I137" s="83"/>
      <c r="J137" s="83"/>
      <c r="K137" s="83"/>
      <c r="L137" s="83"/>
      <c r="M137" s="83"/>
      <c r="N137" s="83"/>
      <c r="O137" s="83"/>
      <c r="P137" s="83"/>
      <c r="Q137" s="83"/>
      <c r="R137" s="83"/>
      <c r="S137" s="83"/>
      <c r="T137" s="83"/>
      <c r="U137" s="83"/>
      <c r="V137" s="83"/>
      <c r="W137" s="83"/>
      <c r="X137" s="83"/>
      <c r="Y137" s="83"/>
      <c r="Z137" s="83"/>
      <c r="AA137" s="83"/>
      <c r="AB137" s="83"/>
      <c r="AC137" s="177"/>
      <c r="AD137" s="3"/>
      <c r="AF137" s="1"/>
      <c r="AH137" s="45"/>
    </row>
    <row r="138" spans="2:34" ht="3" customHeight="1" x14ac:dyDescent="0.2">
      <c r="B138" s="175"/>
      <c r="C138" s="82"/>
      <c r="D138" s="82"/>
      <c r="E138" s="82"/>
      <c r="F138" s="102"/>
      <c r="G138" s="102"/>
      <c r="H138" s="82"/>
      <c r="I138" s="82"/>
      <c r="J138" s="82"/>
      <c r="K138" s="82"/>
      <c r="L138" s="82"/>
      <c r="M138" s="82"/>
      <c r="N138" s="82"/>
      <c r="O138" s="82"/>
      <c r="P138" s="82"/>
      <c r="Q138" s="82"/>
      <c r="R138" s="82"/>
      <c r="S138" s="82"/>
      <c r="T138" s="82"/>
      <c r="U138" s="82"/>
      <c r="V138" s="173"/>
      <c r="W138" s="173"/>
      <c r="X138" s="173"/>
      <c r="Y138" s="173"/>
      <c r="Z138" s="173"/>
      <c r="AA138" s="173"/>
      <c r="AB138" s="173"/>
      <c r="AC138" s="174"/>
      <c r="AD138" s="3"/>
      <c r="AF138" s="1"/>
    </row>
    <row r="139" spans="2:34" ht="16" customHeight="1" x14ac:dyDescent="0.2">
      <c r="B139" s="178"/>
      <c r="C139" s="102"/>
      <c r="D139" s="67" t="s">
        <v>71</v>
      </c>
      <c r="E139" s="67"/>
      <c r="F139" s="83" t="s">
        <v>82</v>
      </c>
      <c r="G139" s="76" t="s">
        <v>30</v>
      </c>
      <c r="H139" s="76"/>
      <c r="I139" s="76"/>
      <c r="J139" s="76"/>
      <c r="K139" s="76"/>
      <c r="L139" s="83"/>
      <c r="M139" s="83"/>
      <c r="N139" s="83"/>
      <c r="O139" s="83"/>
      <c r="P139" s="83"/>
      <c r="Q139" s="83"/>
      <c r="R139" s="83"/>
      <c r="S139" s="83"/>
      <c r="T139" s="83"/>
      <c r="U139" s="83"/>
      <c r="V139" s="83"/>
      <c r="W139" s="83"/>
      <c r="X139" s="83"/>
      <c r="Y139" s="83"/>
      <c r="Z139" s="83"/>
      <c r="AA139" s="83"/>
      <c r="AB139" s="83"/>
      <c r="AC139" s="177"/>
      <c r="AD139" s="3"/>
      <c r="AF139" s="1"/>
    </row>
    <row r="140" spans="2:34" ht="3" customHeight="1" x14ac:dyDescent="0.2">
      <c r="B140" s="178"/>
      <c r="C140" s="102"/>
      <c r="D140" s="67"/>
      <c r="E140" s="67"/>
      <c r="F140" s="179"/>
      <c r="G140" s="76"/>
      <c r="H140" s="76"/>
      <c r="I140" s="76"/>
      <c r="J140" s="76"/>
      <c r="K140" s="76"/>
      <c r="L140" s="179"/>
      <c r="M140" s="179"/>
      <c r="N140" s="179"/>
      <c r="O140" s="179"/>
      <c r="P140" s="179"/>
      <c r="Q140" s="179"/>
      <c r="R140" s="179"/>
      <c r="S140" s="179"/>
      <c r="T140" s="179"/>
      <c r="U140" s="179"/>
      <c r="V140" s="179"/>
      <c r="W140" s="179"/>
      <c r="X140" s="179"/>
      <c r="Y140" s="179"/>
      <c r="Z140" s="179"/>
      <c r="AA140" s="179"/>
      <c r="AB140" s="179"/>
      <c r="AC140" s="180"/>
      <c r="AD140" s="3"/>
      <c r="AF140" s="1"/>
    </row>
    <row r="141" spans="2:34" ht="15" customHeight="1" x14ac:dyDescent="0.2">
      <c r="B141" s="175"/>
      <c r="C141" s="181"/>
      <c r="D141" s="182" t="s">
        <v>87</v>
      </c>
      <c r="E141" s="67"/>
      <c r="F141" s="76" t="s">
        <v>82</v>
      </c>
      <c r="G141" s="76" t="s">
        <v>89</v>
      </c>
      <c r="H141" s="76"/>
      <c r="I141" s="76"/>
      <c r="J141" s="76"/>
      <c r="K141" s="76"/>
      <c r="L141" s="76"/>
      <c r="M141" s="76"/>
      <c r="N141" s="76"/>
      <c r="O141" s="76"/>
      <c r="P141" s="76"/>
      <c r="Q141" s="76"/>
      <c r="R141" s="76"/>
      <c r="S141" s="76"/>
      <c r="T141" s="76"/>
      <c r="U141" s="76"/>
      <c r="V141" s="76"/>
      <c r="W141" s="76"/>
      <c r="X141" s="76"/>
      <c r="Y141" s="76"/>
      <c r="Z141" s="76"/>
      <c r="AA141" s="76"/>
      <c r="AB141" s="76"/>
      <c r="AC141" s="81"/>
      <c r="AD141" s="3"/>
      <c r="AF141" s="1"/>
    </row>
    <row r="142" spans="2:34" ht="6" customHeight="1" x14ac:dyDescent="0.2">
      <c r="B142" s="175"/>
      <c r="C142" s="82"/>
      <c r="D142" s="82"/>
      <c r="E142" s="82"/>
      <c r="F142" s="102"/>
      <c r="G142" s="76"/>
      <c r="H142" s="76"/>
      <c r="I142" s="76"/>
      <c r="J142" s="76"/>
      <c r="K142" s="76"/>
      <c r="L142" s="82"/>
      <c r="M142" s="82"/>
      <c r="N142" s="82"/>
      <c r="O142" s="82"/>
      <c r="P142" s="82"/>
      <c r="Q142" s="82"/>
      <c r="R142" s="82"/>
      <c r="S142" s="82"/>
      <c r="T142" s="82"/>
      <c r="U142" s="82"/>
      <c r="V142" s="173"/>
      <c r="W142" s="173"/>
      <c r="X142" s="173"/>
      <c r="Y142" s="173"/>
      <c r="Z142" s="173"/>
      <c r="AA142" s="173"/>
      <c r="AB142" s="173"/>
      <c r="AC142" s="174"/>
      <c r="AD142" s="3"/>
      <c r="AF142" s="1"/>
    </row>
    <row r="143" spans="2:34" ht="14" customHeight="1" x14ac:dyDescent="0.2">
      <c r="B143" s="175"/>
      <c r="C143" s="82"/>
      <c r="D143" s="183" t="s">
        <v>86</v>
      </c>
      <c r="E143" s="67"/>
      <c r="F143" s="76" t="s">
        <v>82</v>
      </c>
      <c r="G143" s="76" t="s">
        <v>88</v>
      </c>
      <c r="H143" s="76"/>
      <c r="I143" s="76"/>
      <c r="J143" s="76"/>
      <c r="K143" s="76"/>
      <c r="L143" s="76"/>
      <c r="M143" s="76"/>
      <c r="N143" s="76"/>
      <c r="O143" s="76"/>
      <c r="P143" s="76"/>
      <c r="Q143" s="76"/>
      <c r="R143" s="76"/>
      <c r="S143" s="76"/>
      <c r="T143" s="76"/>
      <c r="U143" s="76"/>
      <c r="V143" s="76"/>
      <c r="W143" s="76"/>
      <c r="X143" s="76"/>
      <c r="Y143" s="76"/>
      <c r="Z143" s="76"/>
      <c r="AA143" s="76"/>
      <c r="AB143" s="76"/>
      <c r="AC143" s="81"/>
      <c r="AD143" s="3"/>
      <c r="AF143" s="1"/>
    </row>
    <row r="144" spans="2:34" ht="6" customHeight="1" x14ac:dyDescent="0.2">
      <c r="B144" s="175"/>
      <c r="C144" s="82"/>
      <c r="D144" s="82"/>
      <c r="E144" s="82"/>
      <c r="F144" s="102"/>
      <c r="G144" s="102"/>
      <c r="H144" s="82"/>
      <c r="I144" s="82"/>
      <c r="J144" s="82"/>
      <c r="K144" s="82"/>
      <c r="L144" s="82"/>
      <c r="M144" s="82"/>
      <c r="N144" s="82"/>
      <c r="O144" s="82"/>
      <c r="P144" s="82"/>
      <c r="Q144" s="82"/>
      <c r="R144" s="82"/>
      <c r="S144" s="82"/>
      <c r="T144" s="82"/>
      <c r="U144" s="82"/>
      <c r="V144" s="173"/>
      <c r="W144" s="173"/>
      <c r="X144" s="173"/>
      <c r="Y144" s="173"/>
      <c r="Z144" s="173"/>
      <c r="AA144" s="173"/>
      <c r="AB144" s="173"/>
      <c r="AC144" s="174"/>
      <c r="AD144" s="3"/>
      <c r="AF144" s="1"/>
    </row>
    <row r="145" spans="2:32" ht="14" customHeight="1" x14ac:dyDescent="0.2">
      <c r="B145" s="175"/>
      <c r="C145" s="82"/>
      <c r="D145" s="184" t="s">
        <v>90</v>
      </c>
      <c r="E145" s="184"/>
      <c r="F145" s="185" t="s">
        <v>82</v>
      </c>
      <c r="G145" s="185" t="s">
        <v>81</v>
      </c>
      <c r="H145" s="76"/>
      <c r="I145" s="76"/>
      <c r="J145" s="76"/>
      <c r="K145" s="76"/>
      <c r="L145" s="76"/>
      <c r="M145" s="76"/>
      <c r="N145" s="76"/>
      <c r="O145" s="76"/>
      <c r="P145" s="76"/>
      <c r="Q145" s="76"/>
      <c r="R145" s="76"/>
      <c r="S145" s="76"/>
      <c r="T145" s="76"/>
      <c r="U145" s="76"/>
      <c r="V145" s="76"/>
      <c r="W145" s="76"/>
      <c r="X145" s="76"/>
      <c r="Y145" s="76"/>
      <c r="Z145" s="76"/>
      <c r="AA145" s="76"/>
      <c r="AB145" s="76"/>
      <c r="AC145" s="81"/>
      <c r="AD145" s="3"/>
      <c r="AF145" s="1"/>
    </row>
    <row r="146" spans="2:32" ht="6" customHeight="1" x14ac:dyDescent="0.2">
      <c r="B146" s="175"/>
      <c r="C146" s="82"/>
      <c r="D146" s="82"/>
      <c r="E146" s="82"/>
      <c r="F146" s="102"/>
      <c r="G146" s="102"/>
      <c r="H146" s="82"/>
      <c r="I146" s="82"/>
      <c r="J146" s="82"/>
      <c r="K146" s="82"/>
      <c r="L146" s="82"/>
      <c r="M146" s="82"/>
      <c r="N146" s="82"/>
      <c r="O146" s="82"/>
      <c r="P146" s="82"/>
      <c r="Q146" s="82"/>
      <c r="R146" s="82"/>
      <c r="S146" s="82"/>
      <c r="T146" s="82"/>
      <c r="U146" s="82"/>
      <c r="V146" s="173"/>
      <c r="W146" s="173"/>
      <c r="X146" s="173"/>
      <c r="Y146" s="173"/>
      <c r="Z146" s="173"/>
      <c r="AA146" s="173"/>
      <c r="AB146" s="173"/>
      <c r="AC146" s="174"/>
      <c r="AD146" s="3"/>
      <c r="AF146" s="1"/>
    </row>
    <row r="147" spans="2:32" ht="14" customHeight="1" x14ac:dyDescent="0.2">
      <c r="B147" s="175"/>
      <c r="C147" s="82"/>
      <c r="D147" s="82" t="s">
        <v>91</v>
      </c>
      <c r="E147" s="82"/>
      <c r="F147" s="76" t="s">
        <v>82</v>
      </c>
      <c r="G147" s="76" t="s">
        <v>31</v>
      </c>
      <c r="H147" s="76"/>
      <c r="I147" s="76"/>
      <c r="J147" s="76"/>
      <c r="K147" s="76"/>
      <c r="L147" s="76"/>
      <c r="M147" s="76"/>
      <c r="N147" s="76"/>
      <c r="O147" s="76"/>
      <c r="P147" s="76"/>
      <c r="Q147" s="76"/>
      <c r="R147" s="76"/>
      <c r="S147" s="76"/>
      <c r="T147" s="76"/>
      <c r="U147" s="76"/>
      <c r="V147" s="76"/>
      <c r="W147" s="76"/>
      <c r="X147" s="76"/>
      <c r="Y147" s="76"/>
      <c r="Z147" s="76"/>
      <c r="AA147" s="76"/>
      <c r="AB147" s="76"/>
      <c r="AC147" s="81"/>
      <c r="AD147" s="3"/>
      <c r="AF147" s="1"/>
    </row>
    <row r="148" spans="2:32" ht="3" customHeight="1" x14ac:dyDescent="0.2">
      <c r="B148" s="175"/>
      <c r="C148" s="82"/>
      <c r="D148" s="82"/>
      <c r="E148" s="82"/>
      <c r="F148" s="102"/>
      <c r="G148" s="102"/>
      <c r="H148" s="82"/>
      <c r="I148" s="76"/>
      <c r="J148" s="76"/>
      <c r="K148" s="76"/>
      <c r="L148" s="76"/>
      <c r="M148" s="76"/>
      <c r="N148" s="76"/>
      <c r="O148" s="76"/>
      <c r="P148" s="76"/>
      <c r="Q148" s="76"/>
      <c r="R148" s="76"/>
      <c r="S148" s="76"/>
      <c r="T148" s="76"/>
      <c r="U148" s="76"/>
      <c r="V148" s="76"/>
      <c r="W148" s="76"/>
      <c r="X148" s="76"/>
      <c r="Y148" s="76"/>
      <c r="Z148" s="76"/>
      <c r="AA148" s="76"/>
      <c r="AB148" s="76"/>
      <c r="AC148" s="81"/>
      <c r="AD148" s="3"/>
      <c r="AF148" s="1"/>
    </row>
    <row r="149" spans="2:32" ht="14" customHeight="1" x14ac:dyDescent="0.2">
      <c r="B149" s="175"/>
      <c r="C149" s="82"/>
      <c r="D149" s="82" t="s">
        <v>92</v>
      </c>
      <c r="E149" s="82"/>
      <c r="F149" s="76" t="s">
        <v>82</v>
      </c>
      <c r="G149" s="76" t="s">
        <v>32</v>
      </c>
      <c r="H149" s="76"/>
      <c r="I149" s="76"/>
      <c r="J149" s="76"/>
      <c r="K149" s="76"/>
      <c r="L149" s="76"/>
      <c r="M149" s="76"/>
      <c r="N149" s="76"/>
      <c r="O149" s="76"/>
      <c r="P149" s="76"/>
      <c r="Q149" s="76"/>
      <c r="R149" s="76"/>
      <c r="S149" s="76"/>
      <c r="T149" s="76"/>
      <c r="U149" s="76"/>
      <c r="V149" s="76"/>
      <c r="W149" s="76"/>
      <c r="X149" s="76"/>
      <c r="Y149" s="76"/>
      <c r="Z149" s="76"/>
      <c r="AA149" s="76"/>
      <c r="AB149" s="76"/>
      <c r="AC149" s="81"/>
      <c r="AD149" s="3"/>
      <c r="AF149" s="1"/>
    </row>
    <row r="150" spans="2:32" ht="14" customHeight="1" x14ac:dyDescent="0.2">
      <c r="B150" s="175"/>
      <c r="C150" s="102"/>
      <c r="D150" s="82"/>
      <c r="E150" s="82"/>
      <c r="F150" s="82"/>
      <c r="G150" s="82"/>
      <c r="H150" s="82"/>
      <c r="I150" s="82"/>
      <c r="J150" s="82"/>
      <c r="K150" s="82"/>
      <c r="L150" s="82"/>
      <c r="M150" s="82"/>
      <c r="N150" s="82"/>
      <c r="O150" s="82"/>
      <c r="P150" s="82"/>
      <c r="Q150" s="82"/>
      <c r="R150" s="82"/>
      <c r="S150" s="82"/>
      <c r="T150" s="82"/>
      <c r="U150" s="82"/>
      <c r="V150" s="82"/>
      <c r="W150" s="173"/>
      <c r="X150" s="173"/>
      <c r="Y150" s="173"/>
      <c r="Z150" s="173"/>
      <c r="AA150" s="173"/>
      <c r="AB150" s="173"/>
      <c r="AC150" s="174"/>
      <c r="AF150" s="1"/>
    </row>
    <row r="151" spans="2:32" ht="36" customHeight="1" x14ac:dyDescent="0.15">
      <c r="B151" s="187"/>
      <c r="C151" s="103"/>
      <c r="D151" s="205" t="s">
        <v>222</v>
      </c>
      <c r="E151" s="205"/>
      <c r="F151" s="205"/>
      <c r="G151" s="205"/>
      <c r="H151" s="205"/>
      <c r="I151" s="205"/>
      <c r="J151" s="205"/>
      <c r="K151" s="205"/>
      <c r="L151" s="205"/>
      <c r="M151" s="205"/>
      <c r="N151" s="205"/>
      <c r="O151" s="205"/>
      <c r="P151" s="205"/>
      <c r="Q151" s="205"/>
      <c r="R151" s="205"/>
      <c r="S151" s="205"/>
      <c r="T151" s="205"/>
      <c r="U151" s="205"/>
      <c r="V151" s="205"/>
      <c r="W151" s="205"/>
      <c r="X151" s="205"/>
      <c r="Y151" s="205"/>
      <c r="Z151" s="205"/>
      <c r="AA151" s="205"/>
      <c r="AB151" s="205"/>
      <c r="AC151" s="206"/>
    </row>
    <row r="152" spans="2:32" ht="24" customHeight="1" x14ac:dyDescent="0.15">
      <c r="B152" s="187"/>
      <c r="C152" s="103"/>
      <c r="D152" s="205" t="s">
        <v>223</v>
      </c>
      <c r="E152" s="205"/>
      <c r="F152" s="205"/>
      <c r="G152" s="205"/>
      <c r="H152" s="205"/>
      <c r="I152" s="205"/>
      <c r="J152" s="205"/>
      <c r="K152" s="205"/>
      <c r="L152" s="205"/>
      <c r="M152" s="205"/>
      <c r="N152" s="205"/>
      <c r="O152" s="205"/>
      <c r="P152" s="205"/>
      <c r="Q152" s="205"/>
      <c r="R152" s="205"/>
      <c r="S152" s="205"/>
      <c r="T152" s="205"/>
      <c r="U152" s="205"/>
      <c r="V152" s="205"/>
      <c r="W152" s="205"/>
      <c r="X152" s="205"/>
      <c r="Y152" s="205"/>
      <c r="Z152" s="205"/>
      <c r="AA152" s="205"/>
      <c r="AB152" s="205"/>
      <c r="AC152" s="206"/>
    </row>
    <row r="153" spans="2:32" ht="15" customHeight="1" x14ac:dyDescent="0.15">
      <c r="B153" s="187"/>
      <c r="C153" s="103"/>
      <c r="D153" s="208" t="s">
        <v>224</v>
      </c>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c r="AA153" s="208"/>
      <c r="AB153" s="208"/>
      <c r="AC153" s="186"/>
    </row>
    <row r="154" spans="2:32" ht="15" customHeight="1" x14ac:dyDescent="0.15">
      <c r="B154" s="187"/>
      <c r="C154" s="103"/>
      <c r="D154" s="208" t="s">
        <v>225</v>
      </c>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c r="AA154" s="208"/>
      <c r="AB154" s="208"/>
      <c r="AC154" s="186"/>
    </row>
    <row r="155" spans="2:32" ht="58" customHeight="1" x14ac:dyDescent="0.15">
      <c r="B155" s="187"/>
      <c r="C155" s="103"/>
      <c r="D155" s="205" t="s">
        <v>226</v>
      </c>
      <c r="E155" s="205"/>
      <c r="F155" s="205"/>
      <c r="G155" s="205"/>
      <c r="H155" s="205"/>
      <c r="I155" s="205"/>
      <c r="J155" s="205"/>
      <c r="K155" s="205"/>
      <c r="L155" s="205"/>
      <c r="M155" s="205"/>
      <c r="N155" s="205"/>
      <c r="O155" s="205"/>
      <c r="P155" s="205"/>
      <c r="Q155" s="205"/>
      <c r="R155" s="205"/>
      <c r="S155" s="205"/>
      <c r="T155" s="205"/>
      <c r="U155" s="205"/>
      <c r="V155" s="205"/>
      <c r="W155" s="205"/>
      <c r="X155" s="205"/>
      <c r="Y155" s="205"/>
      <c r="Z155" s="205"/>
      <c r="AA155" s="205"/>
      <c r="AB155" s="205"/>
      <c r="AC155" s="206"/>
    </row>
    <row r="156" spans="2:32" ht="63" customHeight="1" x14ac:dyDescent="0.15">
      <c r="B156" s="187"/>
      <c r="C156" s="103"/>
      <c r="D156" s="205" t="s">
        <v>230</v>
      </c>
      <c r="E156" s="205"/>
      <c r="F156" s="205"/>
      <c r="G156" s="205"/>
      <c r="H156" s="205"/>
      <c r="I156" s="205"/>
      <c r="J156" s="205"/>
      <c r="K156" s="205"/>
      <c r="L156" s="205"/>
      <c r="M156" s="205"/>
      <c r="N156" s="205"/>
      <c r="O156" s="205"/>
      <c r="P156" s="205"/>
      <c r="Q156" s="205"/>
      <c r="R156" s="205"/>
      <c r="S156" s="205"/>
      <c r="T156" s="205"/>
      <c r="U156" s="205"/>
      <c r="V156" s="205"/>
      <c r="W156" s="205"/>
      <c r="X156" s="205"/>
      <c r="Y156" s="205"/>
      <c r="Z156" s="205"/>
      <c r="AA156" s="205"/>
      <c r="AB156" s="205"/>
      <c r="AC156" s="206"/>
    </row>
    <row r="157" spans="2:32" ht="27" customHeight="1" x14ac:dyDescent="0.15">
      <c r="B157" s="187"/>
      <c r="C157" s="103"/>
      <c r="D157" s="205" t="s">
        <v>231</v>
      </c>
      <c r="E157" s="205"/>
      <c r="F157" s="205"/>
      <c r="G157" s="205"/>
      <c r="H157" s="205"/>
      <c r="I157" s="205"/>
      <c r="J157" s="205"/>
      <c r="K157" s="205"/>
      <c r="L157" s="205"/>
      <c r="M157" s="205"/>
      <c r="N157" s="205"/>
      <c r="O157" s="205"/>
      <c r="P157" s="205"/>
      <c r="Q157" s="205"/>
      <c r="R157" s="205"/>
      <c r="S157" s="205"/>
      <c r="T157" s="205"/>
      <c r="U157" s="205"/>
      <c r="V157" s="205"/>
      <c r="W157" s="205"/>
      <c r="X157" s="205"/>
      <c r="Y157" s="205"/>
      <c r="Z157" s="205"/>
      <c r="AA157" s="205"/>
      <c r="AB157" s="205"/>
      <c r="AC157" s="206"/>
    </row>
    <row r="158" spans="2:32" ht="21" customHeight="1" x14ac:dyDescent="0.15">
      <c r="B158" s="187"/>
      <c r="C158" s="103"/>
      <c r="D158" s="205" t="s">
        <v>232</v>
      </c>
      <c r="E158" s="205"/>
      <c r="F158" s="205"/>
      <c r="G158" s="205"/>
      <c r="H158" s="205"/>
      <c r="I158" s="205"/>
      <c r="J158" s="205"/>
      <c r="K158" s="205"/>
      <c r="L158" s="205"/>
      <c r="M158" s="205"/>
      <c r="N158" s="205"/>
      <c r="O158" s="205"/>
      <c r="P158" s="205"/>
      <c r="Q158" s="205"/>
      <c r="R158" s="205"/>
      <c r="S158" s="205"/>
      <c r="T158" s="205"/>
      <c r="U158" s="205"/>
      <c r="V158" s="205"/>
      <c r="W158" s="205"/>
      <c r="X158" s="205"/>
      <c r="Y158" s="205"/>
      <c r="Z158" s="205"/>
      <c r="AA158" s="205"/>
      <c r="AB158" s="205"/>
      <c r="AC158" s="206"/>
    </row>
    <row r="159" spans="2:32" s="29" customFormat="1" ht="5" customHeight="1" x14ac:dyDescent="0.15">
      <c r="B159" s="187"/>
      <c r="C159" s="103"/>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5"/>
    </row>
    <row r="160" spans="2:32" ht="8" customHeight="1" thickBot="1" x14ac:dyDescent="0.25">
      <c r="B160" s="188"/>
      <c r="C160" s="189"/>
      <c r="D160" s="202"/>
      <c r="E160" s="202"/>
      <c r="F160" s="202"/>
      <c r="G160" s="202"/>
      <c r="H160" s="202"/>
      <c r="I160" s="202"/>
      <c r="J160" s="202"/>
      <c r="K160" s="202"/>
      <c r="L160" s="202"/>
      <c r="M160" s="202"/>
      <c r="N160" s="202"/>
      <c r="O160" s="202"/>
      <c r="P160" s="202"/>
      <c r="Q160" s="202"/>
      <c r="R160" s="202"/>
      <c r="S160" s="202"/>
      <c r="T160" s="202"/>
      <c r="U160" s="202"/>
      <c r="V160" s="202"/>
      <c r="W160" s="202"/>
      <c r="X160" s="202"/>
      <c r="Y160" s="202"/>
      <c r="Z160" s="202"/>
      <c r="AA160" s="202"/>
      <c r="AB160" s="202"/>
      <c r="AC160" s="203"/>
    </row>
    <row r="162" spans="4:4" x14ac:dyDescent="0.2">
      <c r="D162" s="29"/>
    </row>
  </sheetData>
  <sheetProtection algorithmName="SHA-512" hashValue="Fhbqrvg34bF0XOk8Yt+mLdAbhe1SPreh0AbIkpHyHyMJRFVcNxABfZkukrpO2SUu3RRGw3GJ34JasdXdUQAo1g==" saltValue="1xA/tvO1kOgmwTm1NelcIg==" spinCount="100000" sheet="1" formatCells="0" selectLockedCells="1"/>
  <mergeCells count="124">
    <mergeCell ref="F106:G106"/>
    <mergeCell ref="F104:G104"/>
    <mergeCell ref="D157:AC157"/>
    <mergeCell ref="L30:O30"/>
    <mergeCell ref="F108:G108"/>
    <mergeCell ref="AA83:AB83"/>
    <mergeCell ref="D80:M80"/>
    <mergeCell ref="F38:K38"/>
    <mergeCell ref="F52:K52"/>
    <mergeCell ref="F50:K50"/>
    <mergeCell ref="F48:K48"/>
    <mergeCell ref="F46:K46"/>
    <mergeCell ref="F44:K44"/>
    <mergeCell ref="F42:K42"/>
    <mergeCell ref="M46:P46"/>
    <mergeCell ref="F54:K54"/>
    <mergeCell ref="M54:P54"/>
    <mergeCell ref="AA42:AB42"/>
    <mergeCell ref="AA52:AB52"/>
    <mergeCell ref="AA50:AB50"/>
    <mergeCell ref="AA48:AB48"/>
    <mergeCell ref="AA46:AB46"/>
    <mergeCell ref="V94:W94"/>
    <mergeCell ref="AA40:AB40"/>
    <mergeCell ref="AA38:AB38"/>
    <mergeCell ref="S80:T80"/>
    <mergeCell ref="Q94:T94"/>
    <mergeCell ref="M64:P64"/>
    <mergeCell ref="F58:K58"/>
    <mergeCell ref="M58:P58"/>
    <mergeCell ref="AA58:AB58"/>
    <mergeCell ref="F60:K60"/>
    <mergeCell ref="M60:P60"/>
    <mergeCell ref="AA60:AB60"/>
    <mergeCell ref="V102:W102"/>
    <mergeCell ref="F92:G92"/>
    <mergeCell ref="F62:K62"/>
    <mergeCell ref="M62:P62"/>
    <mergeCell ref="AA62:AB62"/>
    <mergeCell ref="AA64:AB64"/>
    <mergeCell ref="F66:K66"/>
    <mergeCell ref="M66:P66"/>
    <mergeCell ref="AA66:AB66"/>
    <mergeCell ref="F88:G88"/>
    <mergeCell ref="F90:G90"/>
    <mergeCell ref="V79:AB80"/>
    <mergeCell ref="C18:M18"/>
    <mergeCell ref="L24:AB24"/>
    <mergeCell ref="S7:W7"/>
    <mergeCell ref="J4:S4"/>
    <mergeCell ref="L20:AB20"/>
    <mergeCell ref="J6:S6"/>
    <mergeCell ref="H35:P35"/>
    <mergeCell ref="F56:K56"/>
    <mergeCell ref="C20:K20"/>
    <mergeCell ref="L28:AB28"/>
    <mergeCell ref="AA56:AB56"/>
    <mergeCell ref="M56:P56"/>
    <mergeCell ref="M52:P52"/>
    <mergeCell ref="M50:P50"/>
    <mergeCell ref="M48:P48"/>
    <mergeCell ref="F37:I37"/>
    <mergeCell ref="D37:E37"/>
    <mergeCell ref="F40:K40"/>
    <mergeCell ref="AA44:AB44"/>
    <mergeCell ref="AA54:AB54"/>
    <mergeCell ref="C4:I4"/>
    <mergeCell ref="Q30:AB30"/>
    <mergeCell ref="W35:W37"/>
    <mergeCell ref="Y35:Y37"/>
    <mergeCell ref="F102:G102"/>
    <mergeCell ref="F100:G100"/>
    <mergeCell ref="F98:G98"/>
    <mergeCell ref="P96:T96"/>
    <mergeCell ref="P104:T104"/>
    <mergeCell ref="P102:T102"/>
    <mergeCell ref="V104:W104"/>
    <mergeCell ref="D68:G68"/>
    <mergeCell ref="F96:G96"/>
    <mergeCell ref="V96:X96"/>
    <mergeCell ref="V92:X92"/>
    <mergeCell ref="V82:X82"/>
    <mergeCell ref="L76:P76"/>
    <mergeCell ref="F86:G86"/>
    <mergeCell ref="F84:G84"/>
    <mergeCell ref="AA35:AB37"/>
    <mergeCell ref="T35:T37"/>
    <mergeCell ref="B3:S3"/>
    <mergeCell ref="F94:G94"/>
    <mergeCell ref="C6:I6"/>
    <mergeCell ref="C28:K28"/>
    <mergeCell ref="O13:AB15"/>
    <mergeCell ref="R35:R37"/>
    <mergeCell ref="M37:P37"/>
    <mergeCell ref="M40:P40"/>
    <mergeCell ref="M42:P42"/>
    <mergeCell ref="M44:P44"/>
    <mergeCell ref="M38:P38"/>
    <mergeCell ref="O10:AB11"/>
    <mergeCell ref="C13:M15"/>
    <mergeCell ref="C10:M11"/>
    <mergeCell ref="O18:AB18"/>
    <mergeCell ref="C24:K24"/>
    <mergeCell ref="F64:K64"/>
    <mergeCell ref="V84:X84"/>
    <mergeCell ref="V86:X86"/>
    <mergeCell ref="V88:X88"/>
    <mergeCell ref="V90:X90"/>
    <mergeCell ref="F83:G83"/>
    <mergeCell ref="T110:Z112"/>
    <mergeCell ref="F112:G112"/>
    <mergeCell ref="D160:AC160"/>
    <mergeCell ref="D122:X122"/>
    <mergeCell ref="D151:AC151"/>
    <mergeCell ref="D152:AC152"/>
    <mergeCell ref="D158:AC158"/>
    <mergeCell ref="D155:AC155"/>
    <mergeCell ref="D156:AC156"/>
    <mergeCell ref="D127:AA127"/>
    <mergeCell ref="G131:AB131"/>
    <mergeCell ref="D126:AB126"/>
    <mergeCell ref="D153:AB153"/>
    <mergeCell ref="D154:AB154"/>
    <mergeCell ref="F110:G110"/>
  </mergeCells>
  <phoneticPr fontId="18" type="noConversion"/>
  <conditionalFormatting sqref="B84:V84 B86:V86 AB86 B87:AB87 B88:V88 AB88 B89:AB89 B90:V90 B91:AB91 B92:V92 Z92:AB92 B93:AB93 B94:P94 H95:T98 D95:G104 B95:C112 O96:V96 Y96:AB96 H99:N104 D105:N107 D109:N110 B111:N111">
    <cfRule type="expression" dxfId="30" priority="94">
      <formula>$AF$79</formula>
    </cfRule>
  </conditionalFormatting>
  <conditionalFormatting sqref="B83:AB83">
    <cfRule type="expression" dxfId="29" priority="127">
      <formula>$AF$79</formula>
    </cfRule>
  </conditionalFormatting>
  <conditionalFormatting sqref="B85:AB85">
    <cfRule type="expression" dxfId="28" priority="92">
      <formula>$AF$79</formula>
    </cfRule>
  </conditionalFormatting>
  <conditionalFormatting sqref="C108:N108">
    <cfRule type="expression" dxfId="27" priority="93">
      <formula>$AF$79</formula>
    </cfRule>
  </conditionalFormatting>
  <conditionalFormatting sqref="D94:F106">
    <cfRule type="expression" dxfId="26" priority="95">
      <formula>$AF$79</formula>
    </cfRule>
  </conditionalFormatting>
  <conditionalFormatting sqref="D110:F110">
    <cfRule type="expression" dxfId="25" priority="91">
      <formula>$AF$79</formula>
    </cfRule>
  </conditionalFormatting>
  <conditionalFormatting sqref="D112:N112">
    <cfRule type="expression" dxfId="24" priority="89">
      <formula>$AF$79</formula>
    </cfRule>
  </conditionalFormatting>
  <conditionalFormatting sqref="D82:V82">
    <cfRule type="expression" dxfId="23" priority="107">
      <formula>$AG$79</formula>
    </cfRule>
  </conditionalFormatting>
  <conditionalFormatting sqref="D122:AB122">
    <cfRule type="expression" dxfId="22" priority="108">
      <formula>$AG$18</formula>
    </cfRule>
  </conditionalFormatting>
  <conditionalFormatting sqref="I70 K70:M70">
    <cfRule type="expression" dxfId="21" priority="67">
      <formula>$AC$48</formula>
    </cfRule>
  </conditionalFormatting>
  <conditionalFormatting sqref="L72:O72">
    <cfRule type="expression" dxfId="20" priority="66">
      <formula>$AH$72</formula>
    </cfRule>
  </conditionalFormatting>
  <conditionalFormatting sqref="O79:T79">
    <cfRule type="expression" dxfId="19" priority="126" stopIfTrue="1">
      <formula>$AH$79</formula>
    </cfRule>
  </conditionalFormatting>
  <conditionalFormatting sqref="O80:T80">
    <cfRule type="expression" dxfId="18" priority="131" stopIfTrue="1">
      <formula>$AH$80</formula>
    </cfRule>
  </conditionalFormatting>
  <conditionalFormatting sqref="Q94:T94 Y94">
    <cfRule type="expression" dxfId="17" priority="2">
      <formula>$AF$82</formula>
    </cfRule>
  </conditionalFormatting>
  <conditionalFormatting sqref="Q45:U45">
    <cfRule type="expression" dxfId="16" priority="86">
      <formula>#REF!</formula>
    </cfRule>
  </conditionalFormatting>
  <conditionalFormatting sqref="S79">
    <cfRule type="expression" dxfId="15" priority="104">
      <formula>$AH$79</formula>
    </cfRule>
  </conditionalFormatting>
  <conditionalFormatting sqref="T114 D115:H115 L115 P115:Q115 T115:V115">
    <cfRule type="expression" dxfId="14" priority="57">
      <formula>$AA$71</formula>
    </cfRule>
  </conditionalFormatting>
  <conditionalFormatting sqref="T110:Z112">
    <cfRule type="expression" dxfId="13" priority="14">
      <formula>NOT($AG$84)</formula>
    </cfRule>
  </conditionalFormatting>
  <conditionalFormatting sqref="U70:U76">
    <cfRule type="expression" dxfId="12" priority="68">
      <formula>$AD$36=8</formula>
    </cfRule>
  </conditionalFormatting>
  <conditionalFormatting sqref="V49 V51 V53">
    <cfRule type="expression" dxfId="11" priority="84">
      <formula>$AI$33=8</formula>
    </cfRule>
  </conditionalFormatting>
  <conditionalFormatting sqref="V70:V76">
    <cfRule type="expression" dxfId="10" priority="69">
      <formula>$AD$36=8</formula>
    </cfRule>
  </conditionalFormatting>
  <conditionalFormatting sqref="V94:W94">
    <cfRule type="expression" dxfId="9" priority="1">
      <formula>NOT(AG$95)</formula>
    </cfRule>
  </conditionalFormatting>
  <conditionalFormatting sqref="W49 W51 W53">
    <cfRule type="expression" dxfId="8" priority="85">
      <formula>$AI$33=8</formula>
    </cfRule>
  </conditionalFormatting>
  <conditionalFormatting sqref="W114">
    <cfRule type="expression" dxfId="7" priority="53">
      <formula>$AA$71</formula>
    </cfRule>
  </conditionalFormatting>
  <conditionalFormatting sqref="Y82">
    <cfRule type="expression" dxfId="6" priority="4">
      <formula>$AF$79</formula>
    </cfRule>
  </conditionalFormatting>
  <conditionalFormatting sqref="Y84">
    <cfRule type="expression" dxfId="5" priority="9">
      <formula>$AF$79</formula>
    </cfRule>
  </conditionalFormatting>
  <conditionalFormatting sqref="Y86">
    <cfRule type="expression" dxfId="4" priority="90">
      <formula>$AF$79</formula>
    </cfRule>
  </conditionalFormatting>
  <conditionalFormatting sqref="Y88">
    <cfRule type="expression" dxfId="3" priority="8">
      <formula>$AF$79</formula>
    </cfRule>
  </conditionalFormatting>
  <conditionalFormatting sqref="Y92:Y93 Y95:Y98">
    <cfRule type="expression" dxfId="2" priority="6">
      <formula>$AF$79</formula>
    </cfRule>
  </conditionalFormatting>
  <conditionalFormatting sqref="Y90:AB90">
    <cfRule type="expression" dxfId="1" priority="7">
      <formula>$AF$79</formula>
    </cfRule>
  </conditionalFormatting>
  <conditionalFormatting sqref="Z82:AB82">
    <cfRule type="expression" dxfId="0" priority="19">
      <formula>$AG$79</formula>
    </cfRule>
  </conditionalFormatting>
  <dataValidations count="3">
    <dataValidation type="list" sqref="L76:P76" xr:uid="{98AE9C47-7B00-7D43-A21B-BDD1D1866A18}">
      <formula1>$AF$76:$AF$77</formula1>
    </dataValidation>
    <dataValidation type="decimal" allowBlank="1" showInputMessage="1" showErrorMessage="1" sqref="D84:K112" xr:uid="{9A7DEEFA-96D7-1641-BF67-05C6157E86EE}">
      <formula1>-1000</formula1>
      <formula2>1000</formula2>
    </dataValidation>
    <dataValidation type="decimal" allowBlank="1" showInputMessage="1" showErrorMessage="1" sqref="M84:M112" xr:uid="{7FC1AB14-7F33-0F45-BA68-DB33780B6556}">
      <formula1>0</formula1>
      <formula2>1</formula2>
    </dataValidation>
  </dataValidations>
  <hyperlinks>
    <hyperlink ref="X6" r:id="rId1" xr:uid="{D7C4CFB6-6C96-8348-AC91-58CDEFC3E6F5}"/>
  </hyperlinks>
  <printOptions horizontalCentered="1" verticalCentered="1"/>
  <pageMargins left="0.19685039370078741" right="0" top="0.19685039370078741" bottom="0" header="0" footer="0"/>
  <pageSetup paperSize="9" fitToHeight="2" orientation="portrait" r:id="rId2"/>
  <rowBreaks count="2" manualBreakCount="2">
    <brk id="77" min="1" max="28" man="1"/>
    <brk id="123" min="1" max="28" man="1"/>
  </rowBreaks>
  <drawing r:id="rId3"/>
  <legacyDrawing r:id="rId4"/>
  <mc:AlternateContent xmlns:mc="http://schemas.openxmlformats.org/markup-compatibility/2006">
    <mc:Choice Requires="x14">
      <controls>
        <mc:AlternateContent xmlns:mc="http://schemas.openxmlformats.org/markup-compatibility/2006">
          <mc:Choice Requires="x14">
            <control shapeId="4105" r:id="rId5" name="Check Box 9">
              <controlPr locked="0" defaultSize="0" autoFill="0" autoLine="0" autoPict="0">
                <anchor moveWithCells="1">
                  <from>
                    <xdr:col>13</xdr:col>
                    <xdr:colOff>254000</xdr:colOff>
                    <xdr:row>77</xdr:row>
                    <xdr:rowOff>292100</xdr:rowOff>
                  </from>
                  <to>
                    <xdr:col>15</xdr:col>
                    <xdr:colOff>12700</xdr:colOff>
                    <xdr:row>78</xdr:row>
                    <xdr:rowOff>203200</xdr:rowOff>
                  </to>
                </anchor>
              </controlPr>
            </control>
          </mc:Choice>
        </mc:AlternateContent>
        <mc:AlternateContent xmlns:mc="http://schemas.openxmlformats.org/markup-compatibility/2006">
          <mc:Choice Requires="x14">
            <control shapeId="4108" r:id="rId6" name="Check Box 12">
              <controlPr locked="0" defaultSize="0" autoFill="0" autoLine="0" autoPict="0">
                <anchor moveWithCells="1">
                  <from>
                    <xdr:col>17</xdr:col>
                    <xdr:colOff>63500</xdr:colOff>
                    <xdr:row>77</xdr:row>
                    <xdr:rowOff>266700</xdr:rowOff>
                  </from>
                  <to>
                    <xdr:col>19</xdr:col>
                    <xdr:colOff>50800</xdr:colOff>
                    <xdr:row>79</xdr:row>
                    <xdr:rowOff>0</xdr:rowOff>
                  </to>
                </anchor>
              </controlPr>
            </control>
          </mc:Choice>
        </mc:AlternateContent>
        <mc:AlternateContent xmlns:mc="http://schemas.openxmlformats.org/markup-compatibility/2006">
          <mc:Choice Requires="x14">
            <control shapeId="4111" r:id="rId7" name="Check Box 15">
              <controlPr defaultSize="0" autoFill="0" autoLine="0" autoPict="0">
                <anchor moveWithCells="1">
                  <from>
                    <xdr:col>10</xdr:col>
                    <xdr:colOff>393700</xdr:colOff>
                    <xdr:row>19</xdr:row>
                    <xdr:rowOff>241300</xdr:rowOff>
                  </from>
                  <to>
                    <xdr:col>16</xdr:col>
                    <xdr:colOff>0</xdr:colOff>
                    <xdr:row>23</xdr:row>
                    <xdr:rowOff>63500</xdr:rowOff>
                  </to>
                </anchor>
              </controlPr>
            </control>
          </mc:Choice>
        </mc:AlternateContent>
        <mc:AlternateContent xmlns:mc="http://schemas.openxmlformats.org/markup-compatibility/2006">
          <mc:Choice Requires="x14">
            <control shapeId="4112" r:id="rId8" name="Check Box 16">
              <controlPr defaultSize="0" autoFill="0" autoLine="0" autoPict="0">
                <anchor moveWithCells="1">
                  <from>
                    <xdr:col>10</xdr:col>
                    <xdr:colOff>393700</xdr:colOff>
                    <xdr:row>23</xdr:row>
                    <xdr:rowOff>254000</xdr:rowOff>
                  </from>
                  <to>
                    <xdr:col>16</xdr:col>
                    <xdr:colOff>0</xdr:colOff>
                    <xdr:row>27</xdr:row>
                    <xdr:rowOff>50800</xdr:rowOff>
                  </to>
                </anchor>
              </controlPr>
            </control>
          </mc:Choice>
        </mc:AlternateContent>
        <mc:AlternateContent xmlns:mc="http://schemas.openxmlformats.org/markup-compatibility/2006">
          <mc:Choice Requires="x14">
            <control shapeId="4128" r:id="rId9" name="Check Box 32">
              <controlPr locked="0" defaultSize="0" autoFill="0" autoLine="0" autoPict="0">
                <anchor moveWithCells="1">
                  <from>
                    <xdr:col>10</xdr:col>
                    <xdr:colOff>317500</xdr:colOff>
                    <xdr:row>67</xdr:row>
                    <xdr:rowOff>152400</xdr:rowOff>
                  </from>
                  <to>
                    <xdr:col>12</xdr:col>
                    <xdr:colOff>152400</xdr:colOff>
                    <xdr:row>70</xdr:row>
                    <xdr:rowOff>63500</xdr:rowOff>
                  </to>
                </anchor>
              </controlPr>
            </control>
          </mc:Choice>
        </mc:AlternateContent>
        <mc:AlternateContent xmlns:mc="http://schemas.openxmlformats.org/markup-compatibility/2006">
          <mc:Choice Requires="x14">
            <control shapeId="4130" r:id="rId10" name="Check Box 34">
              <controlPr locked="0" defaultSize="0" autoFill="0" autoLine="0" autoPict="0">
                <anchor moveWithCells="1">
                  <from>
                    <xdr:col>10</xdr:col>
                    <xdr:colOff>317500</xdr:colOff>
                    <xdr:row>70</xdr:row>
                    <xdr:rowOff>63500</xdr:rowOff>
                  </from>
                  <to>
                    <xdr:col>12</xdr:col>
                    <xdr:colOff>152400</xdr:colOff>
                    <xdr:row>72</xdr:row>
                    <xdr:rowOff>25400</xdr:rowOff>
                  </to>
                </anchor>
              </controlPr>
            </control>
          </mc:Choice>
        </mc:AlternateContent>
        <mc:AlternateContent xmlns:mc="http://schemas.openxmlformats.org/markup-compatibility/2006">
          <mc:Choice Requires="x14">
            <control shapeId="4143" r:id="rId11" name="Check Box 47">
              <controlPr locked="0" defaultSize="0" autoFill="0" autoLine="0" autoPict="0">
                <anchor moveWithCells="1">
                  <from>
                    <xdr:col>13</xdr:col>
                    <xdr:colOff>254000</xdr:colOff>
                    <xdr:row>78</xdr:row>
                    <xdr:rowOff>190500</xdr:rowOff>
                  </from>
                  <to>
                    <xdr:col>15</xdr:col>
                    <xdr:colOff>0</xdr:colOff>
                    <xdr:row>80</xdr:row>
                    <xdr:rowOff>0</xdr:rowOff>
                  </to>
                </anchor>
              </controlPr>
            </control>
          </mc:Choice>
        </mc:AlternateContent>
        <mc:AlternateContent xmlns:mc="http://schemas.openxmlformats.org/markup-compatibility/2006">
          <mc:Choice Requires="x14">
            <control shapeId="4144" r:id="rId12" name="Check Box 48">
              <controlPr locked="0" defaultSize="0" autoFill="0" autoLine="0" autoPict="0">
                <anchor moveWithCells="1">
                  <from>
                    <xdr:col>17</xdr:col>
                    <xdr:colOff>63500</xdr:colOff>
                    <xdr:row>78</xdr:row>
                    <xdr:rowOff>177800</xdr:rowOff>
                  </from>
                  <to>
                    <xdr:col>18</xdr:col>
                    <xdr:colOff>101600</xdr:colOff>
                    <xdr:row>80</xdr:row>
                    <xdr:rowOff>0</xdr:rowOff>
                  </to>
                </anchor>
              </controlPr>
            </control>
          </mc:Choice>
        </mc:AlternateContent>
        <mc:AlternateContent xmlns:mc="http://schemas.openxmlformats.org/markup-compatibility/2006">
          <mc:Choice Requires="x14">
            <control shapeId="4145" r:id="rId13" name="Check Box 49">
              <controlPr defaultSize="0" autoFill="0" autoLine="0" autoPict="0">
                <anchor moveWithCells="1">
                  <from>
                    <xdr:col>22</xdr:col>
                    <xdr:colOff>63500</xdr:colOff>
                    <xdr:row>115</xdr:row>
                    <xdr:rowOff>177800</xdr:rowOff>
                  </from>
                  <to>
                    <xdr:col>24</xdr:col>
                    <xdr:colOff>25400</xdr:colOff>
                    <xdr:row>117</xdr:row>
                    <xdr:rowOff>63500</xdr:rowOff>
                  </to>
                </anchor>
              </controlPr>
            </control>
          </mc:Choice>
        </mc:AlternateContent>
        <mc:AlternateContent xmlns:mc="http://schemas.openxmlformats.org/markup-compatibility/2006">
          <mc:Choice Requires="x14">
            <control shapeId="4147" r:id="rId14" name="Check Box 51">
              <controlPr defaultSize="0" autoFill="0" autoLine="0" autoPict="0">
                <anchor moveWithCells="1">
                  <from>
                    <xdr:col>22</xdr:col>
                    <xdr:colOff>63500</xdr:colOff>
                    <xdr:row>116</xdr:row>
                    <xdr:rowOff>190500</xdr:rowOff>
                  </from>
                  <to>
                    <xdr:col>24</xdr:col>
                    <xdr:colOff>114300</xdr:colOff>
                    <xdr:row>118</xdr:row>
                    <xdr:rowOff>76200</xdr:rowOff>
                  </to>
                </anchor>
              </controlPr>
            </control>
          </mc:Choice>
        </mc:AlternateContent>
        <mc:AlternateContent xmlns:mc="http://schemas.openxmlformats.org/markup-compatibility/2006">
          <mc:Choice Requires="x14">
            <control shapeId="4148" r:id="rId15" name="Check Box 52">
              <controlPr defaultSize="0" autoFill="0" autoLine="0" autoPict="0">
                <anchor moveWithCells="1">
                  <from>
                    <xdr:col>22</xdr:col>
                    <xdr:colOff>63500</xdr:colOff>
                    <xdr:row>117</xdr:row>
                    <xdr:rowOff>190500</xdr:rowOff>
                  </from>
                  <to>
                    <xdr:col>24</xdr:col>
                    <xdr:colOff>101600</xdr:colOff>
                    <xdr:row>119</xdr:row>
                    <xdr:rowOff>76200</xdr:rowOff>
                  </to>
                </anchor>
              </controlPr>
            </control>
          </mc:Choice>
        </mc:AlternateContent>
        <mc:AlternateContent xmlns:mc="http://schemas.openxmlformats.org/markup-compatibility/2006">
          <mc:Choice Requires="x14">
            <control shapeId="4149" r:id="rId16" name="Check Box 53">
              <controlPr defaultSize="0" autoFill="0" autoLine="0" autoPict="0">
                <anchor moveWithCells="1">
                  <from>
                    <xdr:col>22</xdr:col>
                    <xdr:colOff>63500</xdr:colOff>
                    <xdr:row>118</xdr:row>
                    <xdr:rowOff>190500</xdr:rowOff>
                  </from>
                  <to>
                    <xdr:col>24</xdr:col>
                    <xdr:colOff>101600</xdr:colOff>
                    <xdr:row>121</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6">
        <x14:dataValidation type="list" allowBlank="1" showInputMessage="1" showErrorMessage="1" xr:uid="{FECA5F66-84DE-564F-B54D-C399DAA7822C}">
          <x14:formula1>
            <xm:f>RawMat!$A$1:$A$101</xm:f>
          </x14:formula1>
          <xm:sqref>F55 F57 F59 F61 F63 F65</xm:sqref>
        </x14:dataValidation>
        <x14:dataValidation type="list" allowBlank="1" showInputMessage="1" showErrorMessage="1" xr:uid="{EC6C0987-EAF6-C443-AA9B-362A1EBAA7EE}">
          <x14:formula1>
            <xm:f>Prod!$A$2:$A$5</xm:f>
          </x14:formula1>
          <xm:sqref>H35:P35</xm:sqref>
        </x14:dataValidation>
        <x14:dataValidation type="list" xr:uid="{7A8DEC53-E4EC-E443-9C6B-EBFDEC74FA41}">
          <x14:formula1>
            <xm:f>'Y-N'!$A$1:$A$3</xm:f>
          </x14:formula1>
          <xm:sqref>T52 Y52 AA52:AB52 T38 Y50 T50 W50 W52 T48 Y48 AA48:AB48 AA50:AB50 Y46 T46 W46 W48 T44 Y44 AA44:AB44 AA46:AB46 W44 T42 W42 AA42:AB42 W40 T40 Y40 Y42 Y38 AA40:AB40 W38 AA38:AB38 Y54:Y66 AA54:AB66 W54:W66 T54:T66</xm:sqref>
        </x14:dataValidation>
        <x14:dataValidation type="list" allowBlank="1" showInputMessage="1" showErrorMessage="1" xr:uid="{E6832E85-805A-754F-943A-879BFDD4B834}">
          <x14:formula1>
            <xm:f>GHG!$A$5:$A$7</xm:f>
          </x14:formula1>
          <xm:sqref>R38 R40 R42 R44 R46 R48 R50 R52 R54:R66</xm:sqref>
        </x14:dataValidation>
        <x14:dataValidation type="list" allowBlank="1" showInputMessage="1" xr:uid="{C95B5939-1E07-2040-AD0E-3D6B928DD6FD}">
          <x14:formula1>
            <xm:f>RawMat!$A$1:$A$105</xm:f>
          </x14:formula1>
          <xm:sqref>F66:K66 F40:K40 F42:K44 F46:K46 F48:K48 F50:K50 F52:K52 F54:K54 F56:K56 F58:K58 F60:K60 F62:K62 F64:K64</xm:sqref>
        </x14:dataValidation>
        <x14:dataValidation type="list" allowBlank="1" xr:uid="{A453D77D-D4D2-3D48-9B07-F7C75510AFD0}">
          <x14:formula1>
            <xm:f>RawMat!$A$1:$A$105</xm:f>
          </x14:formula1>
          <xm:sqref>F38:K38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CC7D6-C270-1841-947E-F65F85B3D3D0}">
  <dimension ref="A1:B7"/>
  <sheetViews>
    <sheetView workbookViewId="0">
      <selection activeCell="F41" sqref="F41:K42"/>
    </sheetView>
  </sheetViews>
  <sheetFormatPr baseColWidth="10" defaultRowHeight="15" x14ac:dyDescent="0.2"/>
  <sheetData>
    <row r="1" spans="1:2" x14ac:dyDescent="0.2">
      <c r="A1" t="s">
        <v>96</v>
      </c>
    </row>
    <row r="3" spans="1:2" x14ac:dyDescent="0.2">
      <c r="A3" t="s">
        <v>103</v>
      </c>
      <c r="B3" t="s">
        <v>107</v>
      </c>
    </row>
    <row r="5" spans="1:2" x14ac:dyDescent="0.2">
      <c r="A5" t="s">
        <v>104</v>
      </c>
      <c r="B5" t="s">
        <v>104</v>
      </c>
    </row>
    <row r="6" spans="1:2" x14ac:dyDescent="0.2">
      <c r="A6" t="s">
        <v>105</v>
      </c>
      <c r="B6" t="s">
        <v>105</v>
      </c>
    </row>
    <row r="7" spans="1:2" x14ac:dyDescent="0.2">
      <c r="A7" t="s">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D9"/>
  <sheetViews>
    <sheetView zoomScale="110" zoomScaleNormal="110" zoomScalePageLayoutView="110" workbookViewId="0">
      <selection activeCell="A5" sqref="A5"/>
    </sheetView>
  </sheetViews>
  <sheetFormatPr baseColWidth="10" defaultColWidth="21.6640625" defaultRowHeight="14" x14ac:dyDescent="0.2"/>
  <cols>
    <col min="1" max="1" width="25.6640625" style="5" customWidth="1"/>
    <col min="2" max="2" width="5.6640625" style="5" customWidth="1"/>
    <col min="3" max="3" width="19.33203125" style="5" customWidth="1"/>
    <col min="4" max="4" width="18" style="5" customWidth="1"/>
    <col min="5" max="16384" width="21.6640625" style="5"/>
  </cols>
  <sheetData>
    <row r="1" spans="1:4" x14ac:dyDescent="0.2">
      <c r="B1" s="6"/>
      <c r="C1" s="6"/>
      <c r="D1" s="6"/>
    </row>
    <row r="2" spans="1:4" ht="16" x14ac:dyDescent="0.2">
      <c r="A2" s="9" t="s">
        <v>98</v>
      </c>
      <c r="B2" s="7"/>
      <c r="C2" s="7"/>
      <c r="D2" s="7"/>
    </row>
    <row r="3" spans="1:4" ht="16" x14ac:dyDescent="0.2">
      <c r="A3" s="9" t="s">
        <v>97</v>
      </c>
      <c r="B3" s="7"/>
      <c r="C3" s="7"/>
      <c r="D3" s="7"/>
    </row>
    <row r="4" spans="1:4" ht="16" x14ac:dyDescent="0.2">
      <c r="A4" s="9" t="s">
        <v>202</v>
      </c>
      <c r="B4" s="7"/>
      <c r="C4" s="7"/>
      <c r="D4" s="7"/>
    </row>
    <row r="5" spans="1:4" ht="16" x14ac:dyDescent="0.2">
      <c r="A5" s="9" t="s">
        <v>204</v>
      </c>
      <c r="B5" s="7"/>
      <c r="C5" s="7"/>
      <c r="D5" s="7"/>
    </row>
    <row r="6" spans="1:4" ht="16" x14ac:dyDescent="0.2">
      <c r="A6" s="9"/>
      <c r="B6" s="7"/>
      <c r="C6" s="7"/>
      <c r="D6" s="7"/>
    </row>
    <row r="7" spans="1:4" ht="16" x14ac:dyDescent="0.2">
      <c r="A7" s="10"/>
      <c r="B7" s="7"/>
    </row>
    <row r="8" spans="1:4" ht="16" x14ac:dyDescent="0.2">
      <c r="A8" s="10"/>
      <c r="B8" s="7"/>
      <c r="C8" s="7"/>
      <c r="D8" s="7"/>
    </row>
    <row r="9" spans="1:4" ht="16" x14ac:dyDescent="0.2">
      <c r="A9" s="10"/>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4A687-2EA3-1543-8A14-F1E2DB689E5B}">
  <dimension ref="A1:A105"/>
  <sheetViews>
    <sheetView topLeftCell="A9" workbookViewId="0">
      <selection activeCell="A17" sqref="A17"/>
    </sheetView>
  </sheetViews>
  <sheetFormatPr baseColWidth="10" defaultRowHeight="15" x14ac:dyDescent="0.2"/>
  <cols>
    <col min="1" max="1" width="48.33203125" customWidth="1"/>
  </cols>
  <sheetData>
    <row r="1" spans="1:1" x14ac:dyDescent="0.2">
      <c r="A1" s="58" t="s">
        <v>4</v>
      </c>
    </row>
    <row r="2" spans="1:1" x14ac:dyDescent="0.2">
      <c r="A2" s="58" t="s">
        <v>51</v>
      </c>
    </row>
    <row r="3" spans="1:1" x14ac:dyDescent="0.2">
      <c r="A3" s="58" t="s">
        <v>114</v>
      </c>
    </row>
    <row r="4" spans="1:1" x14ac:dyDescent="0.2">
      <c r="A4" s="58" t="s">
        <v>115</v>
      </c>
    </row>
    <row r="5" spans="1:1" x14ac:dyDescent="0.2">
      <c r="A5" s="58" t="s">
        <v>116</v>
      </c>
    </row>
    <row r="6" spans="1:1" x14ac:dyDescent="0.2">
      <c r="A6" s="58" t="s">
        <v>117</v>
      </c>
    </row>
    <row r="7" spans="1:1" ht="16" x14ac:dyDescent="0.2">
      <c r="A7" s="35" t="s">
        <v>118</v>
      </c>
    </row>
    <row r="8" spans="1:1" ht="16" x14ac:dyDescent="0.2">
      <c r="A8" s="35" t="s">
        <v>119</v>
      </c>
    </row>
    <row r="9" spans="1:1" ht="16" x14ac:dyDescent="0.2">
      <c r="A9" s="35" t="s">
        <v>120</v>
      </c>
    </row>
    <row r="10" spans="1:1" ht="16" x14ac:dyDescent="0.2">
      <c r="A10" s="35" t="s">
        <v>121</v>
      </c>
    </row>
    <row r="11" spans="1:1" ht="16" x14ac:dyDescent="0.2">
      <c r="A11" s="35" t="s">
        <v>122</v>
      </c>
    </row>
    <row r="12" spans="1:1" ht="16" x14ac:dyDescent="0.2">
      <c r="A12" s="35" t="s">
        <v>14</v>
      </c>
    </row>
    <row r="13" spans="1:1" x14ac:dyDescent="0.2">
      <c r="A13" s="58" t="s">
        <v>123</v>
      </c>
    </row>
    <row r="14" spans="1:1" ht="16" x14ac:dyDescent="0.2">
      <c r="A14" s="35" t="s">
        <v>124</v>
      </c>
    </row>
    <row r="15" spans="1:1" ht="16" x14ac:dyDescent="0.2">
      <c r="A15" s="35" t="s">
        <v>125</v>
      </c>
    </row>
    <row r="16" spans="1:1" ht="16" x14ac:dyDescent="0.2">
      <c r="A16" s="35" t="s">
        <v>15</v>
      </c>
    </row>
    <row r="17" spans="1:1" ht="16" x14ac:dyDescent="0.2">
      <c r="A17" s="35" t="s">
        <v>208</v>
      </c>
    </row>
    <row r="18" spans="1:1" ht="16" x14ac:dyDescent="0.2">
      <c r="A18" s="35" t="s">
        <v>99</v>
      </c>
    </row>
    <row r="19" spans="1:1" ht="16" x14ac:dyDescent="0.2">
      <c r="A19" s="35" t="s">
        <v>126</v>
      </c>
    </row>
    <row r="20" spans="1:1" ht="16" x14ac:dyDescent="0.2">
      <c r="A20" s="35" t="s">
        <v>127</v>
      </c>
    </row>
    <row r="21" spans="1:1" ht="16" x14ac:dyDescent="0.2">
      <c r="A21" s="35" t="s">
        <v>128</v>
      </c>
    </row>
    <row r="22" spans="1:1" ht="16" x14ac:dyDescent="0.2">
      <c r="A22" s="35" t="s">
        <v>52</v>
      </c>
    </row>
    <row r="23" spans="1:1" ht="16" x14ac:dyDescent="0.2">
      <c r="A23" s="35" t="s">
        <v>16</v>
      </c>
    </row>
    <row r="24" spans="1:1" ht="16" x14ac:dyDescent="0.2">
      <c r="A24" s="35" t="s">
        <v>100</v>
      </c>
    </row>
    <row r="25" spans="1:1" ht="16" x14ac:dyDescent="0.2">
      <c r="A25" s="35" t="s">
        <v>129</v>
      </c>
    </row>
    <row r="26" spans="1:1" ht="16" x14ac:dyDescent="0.2">
      <c r="A26" s="35" t="s">
        <v>130</v>
      </c>
    </row>
    <row r="27" spans="1:1" ht="16" x14ac:dyDescent="0.2">
      <c r="A27" s="35" t="s">
        <v>131</v>
      </c>
    </row>
    <row r="28" spans="1:1" ht="16" x14ac:dyDescent="0.2">
      <c r="A28" s="35" t="s">
        <v>132</v>
      </c>
    </row>
    <row r="29" spans="1:1" ht="16" x14ac:dyDescent="0.2">
      <c r="A29" s="35" t="s">
        <v>133</v>
      </c>
    </row>
    <row r="30" spans="1:1" ht="16" x14ac:dyDescent="0.2">
      <c r="A30" s="35" t="s">
        <v>134</v>
      </c>
    </row>
    <row r="31" spans="1:1" ht="32" x14ac:dyDescent="0.2">
      <c r="A31" s="35" t="s">
        <v>135</v>
      </c>
    </row>
    <row r="32" spans="1:1" ht="16" x14ac:dyDescent="0.2">
      <c r="A32" s="35" t="s">
        <v>136</v>
      </c>
    </row>
    <row r="33" spans="1:1" ht="16" x14ac:dyDescent="0.2">
      <c r="A33" s="35" t="s">
        <v>137</v>
      </c>
    </row>
    <row r="34" spans="1:1" ht="16" x14ac:dyDescent="0.2">
      <c r="A34" s="35" t="s">
        <v>138</v>
      </c>
    </row>
    <row r="35" spans="1:1" ht="16" x14ac:dyDescent="0.2">
      <c r="A35" s="35" t="s">
        <v>139</v>
      </c>
    </row>
    <row r="36" spans="1:1" ht="16" x14ac:dyDescent="0.2">
      <c r="A36" s="35" t="s">
        <v>140</v>
      </c>
    </row>
    <row r="37" spans="1:1" ht="16" x14ac:dyDescent="0.2">
      <c r="A37" s="35" t="s">
        <v>141</v>
      </c>
    </row>
    <row r="38" spans="1:1" ht="16" x14ac:dyDescent="0.2">
      <c r="A38" s="35" t="s">
        <v>142</v>
      </c>
    </row>
    <row r="39" spans="1:1" ht="16" x14ac:dyDescent="0.2">
      <c r="A39" s="35" t="s">
        <v>17</v>
      </c>
    </row>
    <row r="40" spans="1:1" ht="16" x14ac:dyDescent="0.2">
      <c r="A40" s="35" t="s">
        <v>143</v>
      </c>
    </row>
    <row r="41" spans="1:1" ht="16" x14ac:dyDescent="0.2">
      <c r="A41" s="35" t="s">
        <v>18</v>
      </c>
    </row>
    <row r="42" spans="1:1" ht="16" x14ac:dyDescent="0.2">
      <c r="A42" s="35" t="s">
        <v>144</v>
      </c>
    </row>
    <row r="43" spans="1:1" ht="16" x14ac:dyDescent="0.2">
      <c r="A43" s="35" t="s">
        <v>145</v>
      </c>
    </row>
    <row r="44" spans="1:1" ht="16" x14ac:dyDescent="0.2">
      <c r="A44" s="35" t="s">
        <v>146</v>
      </c>
    </row>
    <row r="45" spans="1:1" ht="16" x14ac:dyDescent="0.2">
      <c r="A45" s="35" t="s">
        <v>10</v>
      </c>
    </row>
    <row r="46" spans="1:1" ht="16" x14ac:dyDescent="0.2">
      <c r="A46" s="35" t="s">
        <v>147</v>
      </c>
    </row>
    <row r="47" spans="1:1" ht="16" x14ac:dyDescent="0.2">
      <c r="A47" s="35" t="s">
        <v>148</v>
      </c>
    </row>
    <row r="48" spans="1:1" ht="16" x14ac:dyDescent="0.2">
      <c r="A48" s="35" t="s">
        <v>149</v>
      </c>
    </row>
    <row r="49" spans="1:1" ht="16" x14ac:dyDescent="0.2">
      <c r="A49" s="35" t="s">
        <v>150</v>
      </c>
    </row>
    <row r="50" spans="1:1" ht="16" x14ac:dyDescent="0.2">
      <c r="A50" s="35" t="s">
        <v>53</v>
      </c>
    </row>
    <row r="51" spans="1:1" ht="16" x14ac:dyDescent="0.2">
      <c r="A51" s="35" t="s">
        <v>151</v>
      </c>
    </row>
    <row r="52" spans="1:1" ht="16" x14ac:dyDescent="0.2">
      <c r="A52" s="35" t="s">
        <v>19</v>
      </c>
    </row>
    <row r="53" spans="1:1" ht="16" x14ac:dyDescent="0.2">
      <c r="A53" s="35" t="s">
        <v>20</v>
      </c>
    </row>
    <row r="54" spans="1:1" ht="16" x14ac:dyDescent="0.2">
      <c r="A54" s="35" t="s">
        <v>54</v>
      </c>
    </row>
    <row r="55" spans="1:1" ht="16" x14ac:dyDescent="0.2">
      <c r="A55" s="35" t="s">
        <v>152</v>
      </c>
    </row>
    <row r="56" spans="1:1" x14ac:dyDescent="0.2">
      <c r="A56" s="59" t="s">
        <v>101</v>
      </c>
    </row>
    <row r="57" spans="1:1" ht="16" x14ac:dyDescent="0.2">
      <c r="A57" s="35" t="s">
        <v>153</v>
      </c>
    </row>
    <row r="58" spans="1:1" ht="16" x14ac:dyDescent="0.2">
      <c r="A58" s="35" t="s">
        <v>154</v>
      </c>
    </row>
    <row r="59" spans="1:1" ht="16" x14ac:dyDescent="0.2">
      <c r="A59" s="35" t="s">
        <v>155</v>
      </c>
    </row>
    <row r="60" spans="1:1" ht="16" x14ac:dyDescent="0.2">
      <c r="A60" s="35" t="s">
        <v>156</v>
      </c>
    </row>
    <row r="61" spans="1:1" ht="16" x14ac:dyDescent="0.2">
      <c r="A61" s="35" t="s">
        <v>157</v>
      </c>
    </row>
    <row r="62" spans="1:1" ht="16" x14ac:dyDescent="0.2">
      <c r="A62" s="35" t="s">
        <v>158</v>
      </c>
    </row>
    <row r="63" spans="1:1" ht="16" x14ac:dyDescent="0.2">
      <c r="A63" s="35" t="s">
        <v>159</v>
      </c>
    </row>
    <row r="64" spans="1:1" ht="16" x14ac:dyDescent="0.2">
      <c r="A64" s="35" t="s">
        <v>11</v>
      </c>
    </row>
    <row r="65" spans="1:1" x14ac:dyDescent="0.2">
      <c r="A65" s="58" t="s">
        <v>160</v>
      </c>
    </row>
    <row r="66" spans="1:1" x14ac:dyDescent="0.2">
      <c r="A66" s="58" t="s">
        <v>161</v>
      </c>
    </row>
    <row r="67" spans="1:1" x14ac:dyDescent="0.2">
      <c r="A67" s="58" t="s">
        <v>162</v>
      </c>
    </row>
    <row r="68" spans="1:1" ht="16" x14ac:dyDescent="0.2">
      <c r="A68" s="35" t="s">
        <v>21</v>
      </c>
    </row>
    <row r="69" spans="1:1" ht="16" x14ac:dyDescent="0.2">
      <c r="A69" s="35" t="s">
        <v>102</v>
      </c>
    </row>
    <row r="70" spans="1:1" ht="16" x14ac:dyDescent="0.2">
      <c r="A70" s="35" t="s">
        <v>163</v>
      </c>
    </row>
    <row r="71" spans="1:1" ht="16" x14ac:dyDescent="0.2">
      <c r="A71" s="35" t="s">
        <v>22</v>
      </c>
    </row>
    <row r="72" spans="1:1" ht="16" x14ac:dyDescent="0.2">
      <c r="A72" s="35" t="s">
        <v>23</v>
      </c>
    </row>
    <row r="73" spans="1:1" ht="16" x14ac:dyDescent="0.2">
      <c r="A73" s="35" t="s">
        <v>164</v>
      </c>
    </row>
    <row r="74" spans="1:1" ht="16" x14ac:dyDescent="0.2">
      <c r="A74" s="35" t="s">
        <v>24</v>
      </c>
    </row>
    <row r="75" spans="1:1" ht="16" x14ac:dyDescent="0.2">
      <c r="A75" s="35" t="s">
        <v>12</v>
      </c>
    </row>
    <row r="76" spans="1:1" ht="16" x14ac:dyDescent="0.2">
      <c r="A76" s="35" t="s">
        <v>165</v>
      </c>
    </row>
    <row r="77" spans="1:1" ht="16" x14ac:dyDescent="0.2">
      <c r="A77" s="35" t="s">
        <v>166</v>
      </c>
    </row>
    <row r="78" spans="1:1" ht="16" x14ac:dyDescent="0.2">
      <c r="A78" s="35" t="s">
        <v>167</v>
      </c>
    </row>
    <row r="79" spans="1:1" ht="16" x14ac:dyDescent="0.2">
      <c r="A79" s="35" t="s">
        <v>25</v>
      </c>
    </row>
    <row r="80" spans="1:1" ht="16" x14ac:dyDescent="0.2">
      <c r="A80" s="35" t="s">
        <v>168</v>
      </c>
    </row>
    <row r="81" spans="1:1" ht="16" x14ac:dyDescent="0.2">
      <c r="A81" s="35" t="s">
        <v>169</v>
      </c>
    </row>
    <row r="82" spans="1:1" ht="16" x14ac:dyDescent="0.2">
      <c r="A82" s="35" t="s">
        <v>26</v>
      </c>
    </row>
    <row r="83" spans="1:1" ht="16" x14ac:dyDescent="0.2">
      <c r="A83" s="35" t="s">
        <v>13</v>
      </c>
    </row>
    <row r="84" spans="1:1" ht="16" x14ac:dyDescent="0.2">
      <c r="A84" s="35" t="s">
        <v>170</v>
      </c>
    </row>
    <row r="85" spans="1:1" x14ac:dyDescent="0.2">
      <c r="A85" s="58" t="s">
        <v>171</v>
      </c>
    </row>
    <row r="86" spans="1:1" x14ac:dyDescent="0.2">
      <c r="A86" s="58" t="s">
        <v>55</v>
      </c>
    </row>
    <row r="87" spans="1:1" x14ac:dyDescent="0.2">
      <c r="A87" s="58" t="s">
        <v>172</v>
      </c>
    </row>
    <row r="88" spans="1:1" ht="16" x14ac:dyDescent="0.2">
      <c r="A88" s="35" t="s">
        <v>27</v>
      </c>
    </row>
    <row r="89" spans="1:1" x14ac:dyDescent="0.2">
      <c r="A89" s="58" t="s">
        <v>173</v>
      </c>
    </row>
    <row r="90" spans="1:1" x14ac:dyDescent="0.2">
      <c r="A90" s="60" t="s">
        <v>174</v>
      </c>
    </row>
    <row r="91" spans="1:1" x14ac:dyDescent="0.2">
      <c r="A91" s="60" t="s">
        <v>175</v>
      </c>
    </row>
    <row r="92" spans="1:1" ht="16" x14ac:dyDescent="0.2">
      <c r="A92" s="35" t="s">
        <v>176</v>
      </c>
    </row>
    <row r="93" spans="1:1" ht="16" x14ac:dyDescent="0.2">
      <c r="A93" s="35" t="s">
        <v>177</v>
      </c>
    </row>
    <row r="94" spans="1:1" ht="16" x14ac:dyDescent="0.2">
      <c r="A94" s="35" t="s">
        <v>178</v>
      </c>
    </row>
    <row r="95" spans="1:1" x14ac:dyDescent="0.2">
      <c r="A95" s="58" t="s">
        <v>179</v>
      </c>
    </row>
    <row r="96" spans="1:1" ht="16" x14ac:dyDescent="0.2">
      <c r="A96" s="35" t="s">
        <v>180</v>
      </c>
    </row>
    <row r="97" spans="1:1" ht="16" x14ac:dyDescent="0.2">
      <c r="A97" s="35" t="s">
        <v>181</v>
      </c>
    </row>
    <row r="98" spans="1:1" ht="16" x14ac:dyDescent="0.2">
      <c r="A98" s="35" t="s">
        <v>182</v>
      </c>
    </row>
    <row r="99" spans="1:1" ht="16" x14ac:dyDescent="0.2">
      <c r="A99" s="35" t="s">
        <v>183</v>
      </c>
    </row>
    <row r="100" spans="1:1" x14ac:dyDescent="0.2">
      <c r="A100" s="59" t="s">
        <v>184</v>
      </c>
    </row>
    <row r="101" spans="1:1" ht="16" x14ac:dyDescent="0.2">
      <c r="A101" s="35" t="s">
        <v>28</v>
      </c>
    </row>
    <row r="102" spans="1:1" ht="16" x14ac:dyDescent="0.2">
      <c r="A102" s="35" t="s">
        <v>185</v>
      </c>
    </row>
    <row r="103" spans="1:1" ht="16" x14ac:dyDescent="0.2">
      <c r="A103" s="35" t="s">
        <v>186</v>
      </c>
    </row>
    <row r="104" spans="1:1" ht="32" x14ac:dyDescent="0.2">
      <c r="A104" s="35" t="s">
        <v>187</v>
      </c>
    </row>
    <row r="105" spans="1:1" ht="16" x14ac:dyDescent="0.2">
      <c r="A105" s="63" t="s">
        <v>188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F41" sqref="F41:K42"/>
    </sheetView>
  </sheetViews>
  <sheetFormatPr baseColWidth="10" defaultRowHeight="15" x14ac:dyDescent="0.2"/>
  <sheetData>
    <row r="1" spans="1:1" x14ac:dyDescent="0.2">
      <c r="A1" t="s">
        <v>41</v>
      </c>
    </row>
    <row r="2" spans="1:1" x14ac:dyDescent="0.2">
      <c r="A2" t="s">
        <v>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B01D4FDA935A469D1D0E2DD7CC126D" ma:contentTypeVersion="13" ma:contentTypeDescription="Create a new document." ma:contentTypeScope="" ma:versionID="a5bf5548a6c66328a11afd1298da8cfa">
  <xsd:schema xmlns:xsd="http://www.w3.org/2001/XMLSchema" xmlns:xs="http://www.w3.org/2001/XMLSchema" xmlns:p="http://schemas.microsoft.com/office/2006/metadata/properties" xmlns:ns2="653649f6-c15f-4d0b-b323-abef9eaf89ba" xmlns:ns3="ec853f75-0a90-4193-916d-4e4a760ec312" targetNamespace="http://schemas.microsoft.com/office/2006/metadata/properties" ma:root="true" ma:fieldsID="27484e1864eb518a2db2c4d48dc27fe3" ns2:_="" ns3:_="">
    <xsd:import namespace="653649f6-c15f-4d0b-b323-abef9eaf89ba"/>
    <xsd:import namespace="ec853f75-0a90-4193-916d-4e4a760ec3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3649f6-c15f-4d0b-b323-abef9eaf89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15e3b13-e6bd-4671-ac9a-6d176023607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853f75-0a90-4193-916d-4e4a760ec3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eb7ef18d-b79d-46da-a2cb-be2855192773}" ma:internalName="TaxCatchAll" ma:showField="CatchAllData" ma:web="ec853f75-0a90-4193-916d-4e4a760ec3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3649f6-c15f-4d0b-b323-abef9eaf89ba">
      <Terms xmlns="http://schemas.microsoft.com/office/infopath/2007/PartnerControls"/>
    </lcf76f155ced4ddcb4097134ff3c332f>
    <TaxCatchAll xmlns="ec853f75-0a90-4193-916d-4e4a760ec312" xsi:nil="true"/>
  </documentManagement>
</p:properties>
</file>

<file path=customXml/itemProps1.xml><?xml version="1.0" encoding="utf-8"?>
<ds:datastoreItem xmlns:ds="http://schemas.openxmlformats.org/officeDocument/2006/customXml" ds:itemID="{DAC5902C-10AC-440C-A22C-5864A8E57672}">
  <ds:schemaRefs>
    <ds:schemaRef ds:uri="http://schemas.microsoft.com/sharepoint/v3/contenttype/forms"/>
  </ds:schemaRefs>
</ds:datastoreItem>
</file>

<file path=customXml/itemProps2.xml><?xml version="1.0" encoding="utf-8"?>
<ds:datastoreItem xmlns:ds="http://schemas.openxmlformats.org/officeDocument/2006/customXml" ds:itemID="{9AA2B41F-5525-44E9-BB7F-2B89172F8666}"/>
</file>

<file path=customXml/itemProps3.xml><?xml version="1.0" encoding="utf-8"?>
<ds:datastoreItem xmlns:ds="http://schemas.openxmlformats.org/officeDocument/2006/customXml" ds:itemID="{ED93D2C2-769B-4BC3-9D6E-1124EB0E8C40}">
  <ds:schemaRefs>
    <ds:schemaRef ds:uri="http://schemas.microsoft.com/office/2006/metadata/properties"/>
    <ds:schemaRef ds:uri="http://schemas.microsoft.com/office/infopath/2007/PartnerControls"/>
    <ds:schemaRef ds:uri="653649f6-c15f-4d0b-b323-abef9eaf89ba"/>
    <ds:schemaRef ds:uri="ec853f75-0a90-4193-916d-4e4a760ec312"/>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PoS form</vt:lpstr>
      <vt:lpstr>GHG</vt:lpstr>
      <vt:lpstr>Prod</vt:lpstr>
      <vt:lpstr>RawMat</vt:lpstr>
      <vt:lpstr>Y-N</vt:lpstr>
      <vt:lpstr>'PoS form'!Print_Area</vt:lpstr>
      <vt:lpstr>Prod!Prod</vt:lpstr>
      <vt:lpstr>Prod!ProdAuswahl</vt:lpstr>
      <vt:lpstr>Prod!ProdTyp</vt:lpstr>
      <vt:lpstr>Product</vt:lpstr>
      <vt:lpstr>Produkt</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Klaus Höring</dc:creator>
  <cp:lastModifiedBy>Marina Pasteris (ES)</cp:lastModifiedBy>
  <cp:lastPrinted>2025-05-19T19:20:31Z</cp:lastPrinted>
  <dcterms:created xsi:type="dcterms:W3CDTF">2011-08-24T14:52:58Z</dcterms:created>
  <dcterms:modified xsi:type="dcterms:W3CDTF">2025-05-22T08:43:42Z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0x0101006AB01D4FDA935A469D1D0E2DD7CC126D</vt:lpwstr>
  </property>
  <property fmtid="{D5CDD505-2E9C-101B-9397-08002B2CF9AE}" pid="3" name="Order">
    <vt:r8>700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MediaServiceImageTags">
    <vt:lpwstr/>
  </property>
</Properties>
</file>