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gasmalaysia-my.sharepoint.com/personal/amiruljamil_gasmalaysia_com/Documents/5. Green Gas Cert/Certificate Team/1.1 Source's Agreement/1.1 Coronation GPA ISCC Certification/2. Certification/ISCC PLUS/2026/Mass balance/"/>
    </mc:Choice>
  </mc:AlternateContent>
  <xr:revisionPtr revIDLastSave="78" documentId="8_{39A36521-5180-474B-AD0B-303806F9CD85}" xr6:coauthVersionLast="47" xr6:coauthVersionMax="47" xr10:uidLastSave="{978C4759-3DFE-4F56-9AC4-79025A91EA6A}"/>
  <bookViews>
    <workbookView xWindow="-110" yWindow="-110" windowWidth="19420" windowHeight="11500" xr2:uid="{00000000-000D-0000-FFFF-FFFF00000000}"/>
  </bookViews>
  <sheets>
    <sheet name="Summary (2025- 2026)" sheetId="9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2LjoqCr9t+pYcOfuYMELSnTE8F58nqFQDF6p0c2cVXs="/>
    </ext>
  </extLst>
</workbook>
</file>

<file path=xl/calcChain.xml><?xml version="1.0" encoding="utf-8"?>
<calcChain xmlns="http://schemas.openxmlformats.org/spreadsheetml/2006/main">
  <c r="O35" i="9" l="1"/>
  <c r="O34" i="9"/>
  <c r="O33" i="9"/>
  <c r="O31" i="9"/>
  <c r="O30" i="9"/>
  <c r="O29" i="9"/>
  <c r="O26" i="9"/>
  <c r="O25" i="9"/>
  <c r="O24" i="9"/>
  <c r="O21" i="9"/>
  <c r="O22" i="9"/>
  <c r="O20" i="9"/>
  <c r="O17" i="9"/>
  <c r="O18" i="9"/>
  <c r="O16" i="9"/>
  <c r="O13" i="9"/>
  <c r="O14" i="9"/>
  <c r="O12" i="9"/>
  <c r="M44" i="9"/>
  <c r="L44" i="9"/>
  <c r="N44" i="9" s="1"/>
  <c r="N43" i="9"/>
  <c r="N42" i="9"/>
  <c r="N41" i="9"/>
  <c r="M40" i="9"/>
  <c r="L40" i="9"/>
  <c r="N40" i="9" s="1"/>
  <c r="N39" i="9"/>
  <c r="N38" i="9"/>
  <c r="N37" i="9"/>
  <c r="M36" i="9"/>
  <c r="L36" i="9"/>
  <c r="N35" i="9"/>
  <c r="N34" i="9"/>
  <c r="N33" i="9"/>
  <c r="M32" i="9"/>
  <c r="L32" i="9"/>
  <c r="N32" i="9" s="1"/>
  <c r="N31" i="9"/>
  <c r="N30" i="9"/>
  <c r="N29" i="9"/>
  <c r="M27" i="9"/>
  <c r="L27" i="9"/>
  <c r="N26" i="9"/>
  <c r="N25" i="9"/>
  <c r="N24" i="9"/>
  <c r="M23" i="9"/>
  <c r="L23" i="9"/>
  <c r="N22" i="9"/>
  <c r="N21" i="9"/>
  <c r="N20" i="9"/>
  <c r="N23" i="9" s="1"/>
  <c r="M19" i="9"/>
  <c r="L19" i="9"/>
  <c r="N18" i="9"/>
  <c r="N17" i="9"/>
  <c r="N16" i="9"/>
  <c r="M15" i="9"/>
  <c r="L15" i="9"/>
  <c r="N14" i="9"/>
  <c r="N13" i="9"/>
  <c r="N12" i="9"/>
  <c r="N15" i="9" l="1"/>
  <c r="M28" i="9"/>
  <c r="N19" i="9"/>
  <c r="N28" i="9" s="1"/>
  <c r="N27" i="9"/>
  <c r="L45" i="9"/>
  <c r="M45" i="9"/>
  <c r="L28" i="9"/>
  <c r="N36" i="9"/>
  <c r="N45" i="9" s="1"/>
  <c r="D23" i="9" l="1"/>
  <c r="I23" i="9"/>
  <c r="J23" i="9"/>
  <c r="O23" i="9"/>
  <c r="P23" i="9"/>
  <c r="C23" i="9"/>
  <c r="D19" i="9"/>
  <c r="I19" i="9"/>
  <c r="J19" i="9"/>
  <c r="O19" i="9"/>
  <c r="P19" i="9"/>
  <c r="C19" i="9"/>
  <c r="Q12" i="9" l="1"/>
  <c r="O15" i="9"/>
  <c r="P15" i="9"/>
  <c r="Q13" i="9"/>
  <c r="Q14" i="9"/>
  <c r="Q16" i="9"/>
  <c r="Q17" i="9"/>
  <c r="K17" i="9"/>
  <c r="G17" i="9"/>
  <c r="F17" i="9"/>
  <c r="E17" i="9"/>
  <c r="K16" i="9"/>
  <c r="G16" i="9"/>
  <c r="F16" i="9"/>
  <c r="E16" i="9"/>
  <c r="K14" i="9"/>
  <c r="G14" i="9"/>
  <c r="F14" i="9"/>
  <c r="E14" i="9"/>
  <c r="K13" i="9"/>
  <c r="G13" i="9"/>
  <c r="F13" i="9"/>
  <c r="E13" i="9"/>
  <c r="D15" i="9"/>
  <c r="C15" i="9"/>
  <c r="J15" i="9"/>
  <c r="I15" i="9"/>
  <c r="K15" i="9" s="1"/>
  <c r="G12" i="9"/>
  <c r="F12" i="9"/>
  <c r="E12" i="9"/>
  <c r="H17" i="9" l="1"/>
  <c r="H13" i="9"/>
  <c r="H16" i="9"/>
  <c r="H14" i="9"/>
  <c r="G15" i="9"/>
  <c r="Q15" i="9"/>
  <c r="E15" i="9"/>
  <c r="K12" i="9"/>
  <c r="H12" i="9"/>
  <c r="F15" i="9"/>
  <c r="H15" i="9" l="1"/>
  <c r="P44" i="9" l="1"/>
  <c r="O44" i="9"/>
  <c r="J44" i="9"/>
  <c r="I44" i="9"/>
  <c r="D44" i="9"/>
  <c r="C44" i="9"/>
  <c r="Q43" i="9"/>
  <c r="K43" i="9"/>
  <c r="G43" i="9"/>
  <c r="F43" i="9"/>
  <c r="H43" i="9" s="1"/>
  <c r="E43" i="9"/>
  <c r="Q42" i="9"/>
  <c r="K42" i="9"/>
  <c r="G42" i="9"/>
  <c r="F42" i="9"/>
  <c r="H42" i="9" s="1"/>
  <c r="E42" i="9"/>
  <c r="Q41" i="9"/>
  <c r="K41" i="9"/>
  <c r="G41" i="9"/>
  <c r="G44" i="9" s="1"/>
  <c r="F41" i="9"/>
  <c r="H41" i="9" s="1"/>
  <c r="E41" i="9"/>
  <c r="P40" i="9"/>
  <c r="O40" i="9"/>
  <c r="J40" i="9"/>
  <c r="I40" i="9"/>
  <c r="D40" i="9"/>
  <c r="C40" i="9"/>
  <c r="Q39" i="9"/>
  <c r="K39" i="9"/>
  <c r="G39" i="9"/>
  <c r="G40" i="9" s="1"/>
  <c r="F39" i="9"/>
  <c r="F40" i="9" s="1"/>
  <c r="H40" i="9" s="1"/>
  <c r="E39" i="9"/>
  <c r="Q38" i="9"/>
  <c r="K38" i="9"/>
  <c r="G38" i="9"/>
  <c r="F38" i="9"/>
  <c r="H38" i="9" s="1"/>
  <c r="E38" i="9"/>
  <c r="Q37" i="9"/>
  <c r="K37" i="9"/>
  <c r="G37" i="9"/>
  <c r="F37" i="9"/>
  <c r="H37" i="9" s="1"/>
  <c r="E37" i="9"/>
  <c r="P36" i="9"/>
  <c r="O36" i="9"/>
  <c r="J36" i="9"/>
  <c r="I36" i="9"/>
  <c r="D36" i="9"/>
  <c r="C36" i="9"/>
  <c r="Q35" i="9"/>
  <c r="K35" i="9"/>
  <c r="G35" i="9"/>
  <c r="F35" i="9"/>
  <c r="H35" i="9" s="1"/>
  <c r="E35" i="9"/>
  <c r="Q34" i="9"/>
  <c r="K34" i="9"/>
  <c r="G34" i="9"/>
  <c r="F34" i="9"/>
  <c r="H34" i="9" s="1"/>
  <c r="E34" i="9"/>
  <c r="Q33" i="9"/>
  <c r="K33" i="9"/>
  <c r="G33" i="9"/>
  <c r="G36" i="9" s="1"/>
  <c r="F33" i="9"/>
  <c r="F36" i="9" s="1"/>
  <c r="H36" i="9" s="1"/>
  <c r="E33" i="9"/>
  <c r="P32" i="9"/>
  <c r="O32" i="9"/>
  <c r="Q32" i="9" s="1"/>
  <c r="J32" i="9"/>
  <c r="I32" i="9"/>
  <c r="D32" i="9"/>
  <c r="C32" i="9"/>
  <c r="Q31" i="9"/>
  <c r="K31" i="9"/>
  <c r="G31" i="9"/>
  <c r="F31" i="9"/>
  <c r="H31" i="9" s="1"/>
  <c r="E31" i="9"/>
  <c r="Q30" i="9"/>
  <c r="K30" i="9"/>
  <c r="G30" i="9"/>
  <c r="F30" i="9"/>
  <c r="H30" i="9" s="1"/>
  <c r="E30" i="9"/>
  <c r="Q29" i="9"/>
  <c r="K29" i="9"/>
  <c r="G29" i="9"/>
  <c r="G32" i="9" s="1"/>
  <c r="F29" i="9"/>
  <c r="H29" i="9" s="1"/>
  <c r="E29" i="9"/>
  <c r="K26" i="9"/>
  <c r="K25" i="9"/>
  <c r="K24" i="9"/>
  <c r="K22" i="9"/>
  <c r="K21" i="9"/>
  <c r="K20" i="9"/>
  <c r="K23" i="9" s="1"/>
  <c r="K18" i="9"/>
  <c r="K19" i="9" s="1"/>
  <c r="E26" i="9"/>
  <c r="E25" i="9"/>
  <c r="E24" i="9"/>
  <c r="E22" i="9"/>
  <c r="E21" i="9"/>
  <c r="E20" i="9"/>
  <c r="E18" i="9"/>
  <c r="E19" i="9" s="1"/>
  <c r="I27" i="9"/>
  <c r="E23" i="9" l="1"/>
  <c r="Q40" i="9"/>
  <c r="K40" i="9"/>
  <c r="Q36" i="9"/>
  <c r="E44" i="9"/>
  <c r="E40" i="9"/>
  <c r="E36" i="9"/>
  <c r="K36" i="9"/>
  <c r="P45" i="9"/>
  <c r="D45" i="9"/>
  <c r="F32" i="9"/>
  <c r="H32" i="9" s="1"/>
  <c r="H33" i="9"/>
  <c r="J45" i="9"/>
  <c r="Q44" i="9"/>
  <c r="I45" i="9"/>
  <c r="C45" i="9"/>
  <c r="G45" i="9"/>
  <c r="E32" i="9"/>
  <c r="F44" i="9"/>
  <c r="H44" i="9" s="1"/>
  <c r="K32" i="9"/>
  <c r="K44" i="9"/>
  <c r="O45" i="9"/>
  <c r="H39" i="9"/>
  <c r="H45" i="9" l="1"/>
  <c r="Q45" i="9"/>
  <c r="E45" i="9"/>
  <c r="K45" i="9"/>
  <c r="F45" i="9"/>
  <c r="J27" i="9"/>
  <c r="K27" i="9" l="1"/>
  <c r="F22" i="9" l="1"/>
  <c r="G22" i="9"/>
  <c r="F24" i="9"/>
  <c r="G24" i="9"/>
  <c r="F25" i="9"/>
  <c r="G25" i="9"/>
  <c r="F26" i="9"/>
  <c r="G26" i="9"/>
  <c r="P27" i="9" l="1"/>
  <c r="H25" i="9"/>
  <c r="H24" i="9"/>
  <c r="H22" i="9"/>
  <c r="Q25" i="9"/>
  <c r="H26" i="9"/>
  <c r="Q26" i="9"/>
  <c r="D27" i="9"/>
  <c r="C27" i="9"/>
  <c r="G27" i="9"/>
  <c r="O27" i="9"/>
  <c r="F27" i="9"/>
  <c r="Q24" i="9"/>
  <c r="Q22" i="9"/>
  <c r="H27" i="9" l="1"/>
  <c r="E27" i="9"/>
  <c r="Q27" i="9"/>
  <c r="Q21" i="9" l="1"/>
  <c r="F20" i="9"/>
  <c r="F23" i="9" s="1"/>
  <c r="F18" i="9"/>
  <c r="F19" i="9" s="1"/>
  <c r="G18" i="9"/>
  <c r="G19" i="9" s="1"/>
  <c r="F21" i="9"/>
  <c r="G21" i="9"/>
  <c r="G20" i="9"/>
  <c r="G23" i="9" s="1"/>
  <c r="H21" i="9" l="1"/>
  <c r="Q20" i="9"/>
  <c r="Q23" i="9" s="1"/>
  <c r="H20" i="9"/>
  <c r="H23" i="9" s="1"/>
  <c r="Q18" i="9"/>
  <c r="Q19" i="9" s="1"/>
  <c r="H18" i="9"/>
  <c r="H19" i="9" s="1"/>
  <c r="I28" i="9"/>
  <c r="I46" i="9" s="1"/>
  <c r="D28" i="9"/>
  <c r="F28" i="9"/>
  <c r="J28" i="9" l="1"/>
  <c r="P28" i="9"/>
  <c r="O28" i="9"/>
  <c r="O46" i="9" s="1"/>
  <c r="C28" i="9" l="1"/>
  <c r="C46" i="9" s="1"/>
  <c r="H28" i="9"/>
  <c r="G28" i="9"/>
  <c r="K28" i="9"/>
  <c r="E28" i="9"/>
  <c r="Q2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 Hidayah Misnan</author>
  </authors>
  <commentList>
    <comment ref="F5" authorId="0" shapeId="0" xr:uid="{7738BA2F-8A55-4B7E-A6A8-B87484E38986}">
      <text>
        <r>
          <rPr>
            <b/>
            <sz val="9"/>
            <color indexed="81"/>
            <rFont val="Tahoma"/>
            <family val="2"/>
          </rPr>
          <t xml:space="preserve">Incoming POME x COD removal x 0.35 (conversion rate to biomethane) / 1000 / 0.55 (biomethane ratio) </t>
        </r>
      </text>
    </comment>
    <comment ref="I5" authorId="0" shapeId="0" xr:uid="{469B884B-5674-450F-BBCE-FCEB12B97550}">
      <text>
        <r>
          <rPr>
            <b/>
            <sz val="9"/>
            <color indexed="81"/>
            <rFont val="Tahoma"/>
            <family val="2"/>
          </rPr>
          <t>Data from Biomethane Operational Report</t>
        </r>
      </text>
    </comment>
  </commentList>
</comments>
</file>

<file path=xl/sharedStrings.xml><?xml version="1.0" encoding="utf-8"?>
<sst xmlns="http://schemas.openxmlformats.org/spreadsheetml/2006/main" count="62" uniqueCount="34">
  <si>
    <t>Kian Hoe Plantations Berhad (KHPB)</t>
  </si>
  <si>
    <t xml:space="preserve">MASS BALANCE (MB) WORKSHEET </t>
  </si>
  <si>
    <t>Year: 2025/26</t>
  </si>
  <si>
    <t>Month</t>
  </si>
  <si>
    <t>Incoming POME to Digester (m3)</t>
  </si>
  <si>
    <t>Biogas Generated (m3)</t>
  </si>
  <si>
    <t>Biomethane Supplied to Grid (MMBtu)</t>
  </si>
  <si>
    <t>Non-Certified</t>
  </si>
  <si>
    <t>TOTAL</t>
  </si>
  <si>
    <t>ISCC</t>
  </si>
  <si>
    <t>June</t>
  </si>
  <si>
    <t>Total 2nd Quarter</t>
  </si>
  <si>
    <t>July</t>
  </si>
  <si>
    <t>August</t>
  </si>
  <si>
    <t>September</t>
  </si>
  <si>
    <t>Total 3rd Quarter</t>
  </si>
  <si>
    <t>October</t>
  </si>
  <si>
    <t xml:space="preserve">November </t>
  </si>
  <si>
    <t xml:space="preserve">December </t>
  </si>
  <si>
    <t>Total 4th Quarter</t>
  </si>
  <si>
    <t>Total 2025</t>
  </si>
  <si>
    <t>January</t>
  </si>
  <si>
    <t xml:space="preserve">February </t>
  </si>
  <si>
    <t>March</t>
  </si>
  <si>
    <t>Total 1st Quarter</t>
  </si>
  <si>
    <t>April</t>
  </si>
  <si>
    <t>May</t>
  </si>
  <si>
    <t>Total 2026</t>
  </si>
  <si>
    <t>OVERALL TOTAL (MT)</t>
  </si>
  <si>
    <t>MT</t>
  </si>
  <si>
    <t>ISCC PLUS</t>
  </si>
  <si>
    <t xml:space="preserve">MT </t>
  </si>
  <si>
    <t>Biomethane Supplied to Grid (MT)</t>
  </si>
  <si>
    <t>Biogas Supplied to Biomethane Plant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</si>
</sst>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0_);_(* \(#,##0.000\);_(* &quot;-&quot;??_);_(@_)"/>
    <numFmt numFmtId="165" formatCode="mmmm\-yy"/>
    <numFmt numFmtId="166" formatCode="_(* #,##0_);_(* \(#,##0\);_(* &quot;-&quot;??_);_(@_)"/>
  </numFmts>
  <fonts count="15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Arial"/>
      <family val="2"/>
    </font>
    <font>
      <sz val="12"/>
      <color rgb="FFFFFFFF"/>
      <name val="Calibri"/>
      <family val="2"/>
    </font>
    <font>
      <sz val="12"/>
      <color theme="0"/>
      <name val="Calibri"/>
      <family val="2"/>
    </font>
    <font>
      <sz val="12"/>
      <color rgb="FF000000"/>
      <name val="Calibri"/>
      <family val="2"/>
    </font>
    <font>
      <sz val="14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  <scheme val="minor"/>
    </font>
    <font>
      <b/>
      <sz val="9"/>
      <color indexed="81"/>
      <name val="Tahoma"/>
      <family val="2"/>
    </font>
    <font>
      <i/>
      <sz val="11"/>
      <color rgb="FF7F7F7F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7ABC32"/>
        <bgColor rgb="FF7ABC32"/>
      </patternFill>
    </fill>
    <fill>
      <patternFill patternType="solid">
        <fgColor rgb="FF8496B0"/>
        <bgColor rgb="FF8496B0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lightUp"/>
    </fill>
    <fill>
      <patternFill patternType="solid">
        <fgColor theme="1"/>
        <bgColor rgb="FFD8D8D8"/>
      </patternFill>
    </fill>
    <fill>
      <patternFill patternType="lightUp">
        <bgColor theme="1"/>
      </patternFill>
    </fill>
    <fill>
      <patternFill patternType="solid">
        <fgColor theme="1"/>
        <bgColor rgb="FFCCCCCC"/>
      </patternFill>
    </fill>
    <fill>
      <patternFill patternType="solid">
        <fgColor theme="1"/>
        <bgColor rgb="FFD9D9D9"/>
      </patternFill>
    </fill>
    <fill>
      <patternFill patternType="solid">
        <fgColor theme="5" tint="0.39997558519241921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2" tint="-0.14999847407452621"/>
        <bgColor rgb="FFD8D8D8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CCCCCC"/>
      </patternFill>
    </fill>
    <fill>
      <patternFill patternType="solid">
        <fgColor theme="2" tint="-0.14999847407452621"/>
        <bgColor rgb="FFD9D9D9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">
    <xf numFmtId="0" fontId="0" fillId="0" borderId="0"/>
    <xf numFmtId="0" fontId="14" fillId="9" borderId="0" applyNumberFormat="0" applyBorder="0" applyAlignment="0" applyProtection="0"/>
    <xf numFmtId="0" fontId="1" fillId="0" borderId="1"/>
    <xf numFmtId="9" fontId="1" fillId="0" borderId="1" applyFont="0" applyFill="0" applyBorder="0" applyAlignment="0" applyProtection="0"/>
    <xf numFmtId="43" fontId="1" fillId="0" borderId="1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165" fontId="3" fillId="0" borderId="0" xfId="0" applyNumberFormat="1" applyFont="1" applyAlignment="1">
      <alignment horizontal="right" vertical="center"/>
    </xf>
    <xf numFmtId="164" fontId="6" fillId="4" borderId="11" xfId="0" applyNumberFormat="1" applyFont="1" applyFill="1" applyBorder="1" applyAlignment="1">
      <alignment horizontal="center" vertical="center" wrapText="1"/>
    </xf>
    <xf numFmtId="164" fontId="7" fillId="5" borderId="11" xfId="0" applyNumberFormat="1" applyFont="1" applyFill="1" applyBorder="1" applyAlignment="1">
      <alignment horizontal="center" vertical="center" wrapText="1"/>
    </xf>
    <xf numFmtId="164" fontId="4" fillId="3" borderId="11" xfId="0" applyNumberFormat="1" applyFont="1" applyFill="1" applyBorder="1" applyAlignment="1">
      <alignment horizontal="center" vertical="center" wrapText="1"/>
    </xf>
    <xf numFmtId="164" fontId="6" fillId="5" borderId="11" xfId="0" applyNumberFormat="1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left" vertical="center"/>
    </xf>
    <xf numFmtId="0" fontId="3" fillId="6" borderId="13" xfId="0" applyFont="1" applyFill="1" applyBorder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2" fontId="0" fillId="0" borderId="0" xfId="0" applyNumberFormat="1"/>
    <xf numFmtId="166" fontId="8" fillId="6" borderId="12" xfId="0" applyNumberFormat="1" applyFont="1" applyFill="1" applyBorder="1" applyAlignment="1">
      <alignment vertical="center"/>
    </xf>
    <xf numFmtId="166" fontId="8" fillId="0" borderId="12" xfId="0" applyNumberFormat="1" applyFont="1" applyBorder="1" applyAlignment="1">
      <alignment vertical="center"/>
    </xf>
    <xf numFmtId="166" fontId="8" fillId="7" borderId="12" xfId="0" applyNumberFormat="1" applyFont="1" applyFill="1" applyBorder="1" applyAlignment="1">
      <alignment vertical="center"/>
    </xf>
    <xf numFmtId="166" fontId="8" fillId="8" borderId="12" xfId="0" applyNumberFormat="1" applyFont="1" applyFill="1" applyBorder="1" applyAlignment="1">
      <alignment vertical="center"/>
    </xf>
    <xf numFmtId="166" fontId="4" fillId="6" borderId="12" xfId="0" applyNumberFormat="1" applyFont="1" applyFill="1" applyBorder="1" applyAlignment="1">
      <alignment vertical="center"/>
    </xf>
    <xf numFmtId="166" fontId="4" fillId="0" borderId="12" xfId="0" applyNumberFormat="1" applyFont="1" applyBorder="1" applyAlignment="1">
      <alignment vertical="center"/>
    </xf>
    <xf numFmtId="166" fontId="4" fillId="7" borderId="12" xfId="0" applyNumberFormat="1" applyFont="1" applyFill="1" applyBorder="1" applyAlignment="1">
      <alignment vertical="center"/>
    </xf>
    <xf numFmtId="166" fontId="4" fillId="8" borderId="12" xfId="0" applyNumberFormat="1" applyFont="1" applyFill="1" applyBorder="1" applyAlignment="1">
      <alignment vertical="center"/>
    </xf>
    <xf numFmtId="0" fontId="14" fillId="10" borderId="13" xfId="1" applyFill="1" applyBorder="1" applyAlignment="1">
      <alignment horizontal="left" vertical="center"/>
    </xf>
    <xf numFmtId="166" fontId="14" fillId="10" borderId="12" xfId="1" applyNumberFormat="1" applyFill="1" applyBorder="1" applyAlignment="1">
      <alignment vertical="center"/>
    </xf>
    <xf numFmtId="166" fontId="14" fillId="11" borderId="12" xfId="1" applyNumberFormat="1" applyFill="1" applyBorder="1" applyAlignment="1">
      <alignment vertical="center"/>
    </xf>
    <xf numFmtId="166" fontId="14" fillId="12" borderId="12" xfId="1" applyNumberFormat="1" applyFill="1" applyBorder="1" applyAlignment="1">
      <alignment vertical="center"/>
    </xf>
    <xf numFmtId="166" fontId="14" fillId="13" borderId="12" xfId="1" applyNumberFormat="1" applyFill="1" applyBorder="1" applyAlignment="1">
      <alignment vertical="center"/>
    </xf>
    <xf numFmtId="166" fontId="0" fillId="0" borderId="0" xfId="0" applyNumberFormat="1"/>
    <xf numFmtId="164" fontId="3" fillId="0" borderId="1" xfId="0" applyNumberFormat="1" applyFont="1" applyBorder="1" applyAlignment="1">
      <alignment horizontal="left" vertical="center"/>
    </xf>
    <xf numFmtId="166" fontId="12" fillId="0" borderId="0" xfId="0" applyNumberFormat="1" applyFont="1"/>
    <xf numFmtId="0" fontId="9" fillId="0" borderId="1" xfId="0" applyFont="1" applyBorder="1"/>
    <xf numFmtId="0" fontId="3" fillId="14" borderId="14" xfId="0" applyFont="1" applyFill="1" applyBorder="1" applyAlignment="1">
      <alignment horizontal="left" vertical="center"/>
    </xf>
    <xf numFmtId="166" fontId="4" fillId="14" borderId="2" xfId="0" applyNumberFormat="1" applyFont="1" applyFill="1" applyBorder="1" applyAlignment="1">
      <alignment vertical="center"/>
    </xf>
    <xf numFmtId="0" fontId="3" fillId="15" borderId="7" xfId="0" applyFont="1" applyFill="1" applyBorder="1" applyAlignment="1">
      <alignment horizontal="left" vertical="center"/>
    </xf>
    <xf numFmtId="166" fontId="4" fillId="15" borderId="2" xfId="0" applyNumberFormat="1" applyFont="1" applyFill="1" applyBorder="1" applyAlignment="1">
      <alignment vertical="center"/>
    </xf>
    <xf numFmtId="166" fontId="4" fillId="0" borderId="0" xfId="0" applyNumberFormat="1" applyFont="1" applyAlignment="1">
      <alignment horizontal="right" vertical="center"/>
    </xf>
    <xf numFmtId="0" fontId="8" fillId="16" borderId="13" xfId="0" applyFont="1" applyFill="1" applyBorder="1" applyAlignment="1">
      <alignment horizontal="left" vertical="center"/>
    </xf>
    <xf numFmtId="166" fontId="8" fillId="16" borderId="12" xfId="0" applyNumberFormat="1" applyFont="1" applyFill="1" applyBorder="1" applyAlignment="1">
      <alignment vertical="center"/>
    </xf>
    <xf numFmtId="166" fontId="8" fillId="17" borderId="12" xfId="0" applyNumberFormat="1" applyFont="1" applyFill="1" applyBorder="1" applyAlignment="1">
      <alignment vertical="center"/>
    </xf>
    <xf numFmtId="166" fontId="8" fillId="18" borderId="12" xfId="0" applyNumberFormat="1" applyFont="1" applyFill="1" applyBorder="1" applyAlignment="1">
      <alignment vertical="center"/>
    </xf>
    <xf numFmtId="166" fontId="8" fillId="19" borderId="12" xfId="0" applyNumberFormat="1" applyFont="1" applyFill="1" applyBorder="1" applyAlignment="1">
      <alignment vertical="center"/>
    </xf>
    <xf numFmtId="166" fontId="4" fillId="16" borderId="12" xfId="0" applyNumberFormat="1" applyFont="1" applyFill="1" applyBorder="1" applyAlignment="1">
      <alignment vertical="center"/>
    </xf>
    <xf numFmtId="166" fontId="4" fillId="17" borderId="12" xfId="0" applyNumberFormat="1" applyFont="1" applyFill="1" applyBorder="1" applyAlignment="1">
      <alignment vertical="center"/>
    </xf>
    <xf numFmtId="166" fontId="4" fillId="18" borderId="12" xfId="0" applyNumberFormat="1" applyFont="1" applyFill="1" applyBorder="1" applyAlignment="1">
      <alignment vertical="center"/>
    </xf>
    <xf numFmtId="166" fontId="4" fillId="19" borderId="12" xfId="0" applyNumberFormat="1" applyFont="1" applyFill="1" applyBorder="1" applyAlignment="1">
      <alignment vertical="center"/>
    </xf>
    <xf numFmtId="0" fontId="3" fillId="16" borderId="13" xfId="0" applyFont="1" applyFill="1" applyBorder="1" applyAlignment="1">
      <alignment horizontal="left" vertical="center"/>
    </xf>
    <xf numFmtId="164" fontId="3" fillId="20" borderId="3" xfId="0" applyNumberFormat="1" applyFont="1" applyFill="1" applyBorder="1" applyAlignment="1">
      <alignment horizontal="center" vertical="center" wrapText="1"/>
    </xf>
    <xf numFmtId="0" fontId="5" fillId="20" borderId="4" xfId="0" applyFont="1" applyFill="1" applyBorder="1"/>
    <xf numFmtId="0" fontId="5" fillId="20" borderId="5" xfId="0" applyFont="1" applyFill="1" applyBorder="1"/>
    <xf numFmtId="0" fontId="5" fillId="20" borderId="7" xfId="0" applyFont="1" applyFill="1" applyBorder="1"/>
    <xf numFmtId="0" fontId="0" fillId="20" borderId="0" xfId="0" applyFill="1"/>
    <xf numFmtId="0" fontId="5" fillId="20" borderId="8" xfId="0" applyFont="1" applyFill="1" applyBorder="1"/>
    <xf numFmtId="0" fontId="5" fillId="20" borderId="13" xfId="0" applyFont="1" applyFill="1" applyBorder="1"/>
    <xf numFmtId="0" fontId="5" fillId="20" borderId="9" xfId="0" applyFont="1" applyFill="1" applyBorder="1"/>
    <xf numFmtId="0" fontId="5" fillId="20" borderId="10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11" xfId="0" applyFont="1" applyBorder="1"/>
    <xf numFmtId="0" fontId="3" fillId="20" borderId="3" xfId="0" applyFont="1" applyFill="1" applyBorder="1" applyAlignment="1">
      <alignment horizontal="center" vertical="center"/>
    </xf>
    <xf numFmtId="0" fontId="3" fillId="20" borderId="3" xfId="0" applyFont="1" applyFill="1" applyBorder="1" applyAlignment="1">
      <alignment horizontal="center" vertical="center" wrapText="1"/>
    </xf>
  </cellXfs>
  <cellStyles count="5">
    <cellStyle name="Comma 2" xfId="4" xr:uid="{CC14BDFB-52E3-4829-88B9-77AD5D5A5AB8}"/>
    <cellStyle name="Explanatory Text" xfId="1" builtinId="53" customBuiltin="1"/>
    <cellStyle name="Normal" xfId="0" builtinId="0"/>
    <cellStyle name="Normal 2" xfId="2" xr:uid="{3A077D1E-DEAC-4AA4-8EA9-A80EBBCD7B22}"/>
    <cellStyle name="Percent 2" xfId="3" xr:uid="{974752CC-660F-499E-95BA-49015A0283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gasmalaysia-my.sharepoint.com/personal/amiruljamil_gasmalaysia_com/Documents/5.%20Green%20Gas%20Cert/Certificate%20Team/1.1%20Source's%20Agreement/1.1%20Coronation%20GPA%20ISCC%20Certification/2.%20Certification/ISCC%20PLUS/2026/Mass%20balance/Data%20-%20Appendix%205a%20-%20KHPB%20ISCC%20Mass%20Balance%20(MB)%20Worksheet%20(2024).xlsx" TargetMode="External"/><Relationship Id="rId2" Type="http://schemas.microsoft.com/office/2019/04/relationships/externalLinkLongPath" Target="Data%20-%20Appendix%205a%20-%20KHPB%20ISCC%20Mass%20Balance%20(MB)%20Worksheet%20(2024).xlsx?53BBCC30" TargetMode="External"/><Relationship Id="rId1" Type="http://schemas.openxmlformats.org/officeDocument/2006/relationships/externalLinkPath" Target="file:///\\53BBCC30\Data%20-%20Appendix%205a%20-%20KHPB%20ISCC%20Mass%20Balance%20(MB)%20Worksheet%20(202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ep24"/>
      <sheetName val="Oct24"/>
      <sheetName val="Nov24"/>
      <sheetName val="Dec24"/>
      <sheetName val="Jan25"/>
      <sheetName val="Feb25"/>
      <sheetName val="Mar25"/>
      <sheetName val="Apr25"/>
      <sheetName val="May25"/>
      <sheetName val="Jun25"/>
      <sheetName val="Jul25"/>
      <sheetName val="Aug25"/>
      <sheetName val="Monthly (2024)"/>
    </sheetNames>
    <sheetDataSet>
      <sheetData sheetId="0"/>
      <sheetData sheetId="1"/>
      <sheetData sheetId="2"/>
      <sheetData sheetId="3"/>
      <sheetData sheetId="4">
        <row r="44">
          <cell r="L44"/>
          <cell r="M44"/>
        </row>
      </sheetData>
      <sheetData sheetId="5">
        <row r="41">
          <cell r="I41"/>
          <cell r="J41"/>
        </row>
      </sheetData>
      <sheetData sheetId="6">
        <row r="44">
          <cell r="L44"/>
          <cell r="M44"/>
        </row>
      </sheetData>
      <sheetData sheetId="7">
        <row r="43">
          <cell r="L43"/>
          <cell r="M43"/>
        </row>
      </sheetData>
      <sheetData sheetId="8">
        <row r="44">
          <cell r="L44"/>
          <cell r="M44"/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S1036"/>
  <sheetViews>
    <sheetView showGridLines="0" tabSelected="1" zoomScale="55" zoomScaleNormal="55" workbookViewId="0">
      <pane xSplit="3" ySplit="11" topLeftCell="D23" activePane="bottomRight" state="frozen"/>
      <selection pane="topRight" activeCell="D1" sqref="D1"/>
      <selection pane="bottomLeft" activeCell="A12" sqref="A12"/>
      <selection pane="bottomRight" activeCell="L50" sqref="L50"/>
    </sheetView>
  </sheetViews>
  <sheetFormatPr defaultColWidth="12.58203125" defaultRowHeight="15" customHeight="1" x14ac:dyDescent="0.3"/>
  <cols>
    <col min="1" max="1" width="7.58203125" customWidth="1"/>
    <col min="2" max="2" width="21.58203125" customWidth="1"/>
    <col min="3" max="5" width="17.58203125" customWidth="1"/>
    <col min="6" max="8" width="17.58203125" hidden="1" customWidth="1"/>
    <col min="9" max="17" width="17.58203125" customWidth="1"/>
  </cols>
  <sheetData>
    <row r="1" spans="2:19" ht="14.25" customHeight="1" x14ac:dyDescent="0.3"/>
    <row r="2" spans="2:19" ht="21" x14ac:dyDescent="0.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9" ht="21" x14ac:dyDescent="0.5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9" ht="18.5" x14ac:dyDescent="0.3">
      <c r="B4" s="2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2:19" ht="15" customHeight="1" x14ac:dyDescent="0.3">
      <c r="B5" s="57" t="s">
        <v>3</v>
      </c>
      <c r="C5" s="60" t="s">
        <v>4</v>
      </c>
      <c r="D5" s="49"/>
      <c r="E5" s="50"/>
      <c r="F5" s="61" t="s">
        <v>5</v>
      </c>
      <c r="G5" s="49"/>
      <c r="H5" s="50"/>
      <c r="I5" s="61" t="s">
        <v>33</v>
      </c>
      <c r="J5" s="49"/>
      <c r="K5" s="50"/>
      <c r="L5" s="48" t="s">
        <v>6</v>
      </c>
      <c r="M5" s="49"/>
      <c r="N5" s="50"/>
      <c r="O5" s="48" t="s">
        <v>32</v>
      </c>
      <c r="P5" s="49"/>
      <c r="Q5" s="50"/>
    </row>
    <row r="6" spans="2:19" ht="15" customHeight="1" x14ac:dyDescent="0.3">
      <c r="B6" s="58"/>
      <c r="C6" s="51"/>
      <c r="D6" s="52"/>
      <c r="E6" s="53"/>
      <c r="F6" s="51"/>
      <c r="G6" s="52"/>
      <c r="H6" s="53"/>
      <c r="I6" s="51"/>
      <c r="J6" s="52"/>
      <c r="K6" s="53"/>
      <c r="L6" s="51"/>
      <c r="M6" s="52"/>
      <c r="N6" s="53"/>
      <c r="O6" s="51"/>
      <c r="P6" s="52"/>
      <c r="Q6" s="53"/>
    </row>
    <row r="7" spans="2:19" ht="15" customHeight="1" x14ac:dyDescent="0.3">
      <c r="B7" s="58"/>
      <c r="C7" s="51"/>
      <c r="D7" s="52"/>
      <c r="E7" s="53"/>
      <c r="F7" s="51"/>
      <c r="G7" s="52"/>
      <c r="H7" s="53"/>
      <c r="I7" s="51"/>
      <c r="J7" s="52"/>
      <c r="K7" s="53"/>
      <c r="L7" s="51"/>
      <c r="M7" s="52"/>
      <c r="N7" s="53"/>
      <c r="O7" s="51"/>
      <c r="P7" s="52"/>
      <c r="Q7" s="53"/>
    </row>
    <row r="8" spans="2:19" ht="15" customHeight="1" x14ac:dyDescent="0.3">
      <c r="B8" s="58"/>
      <c r="C8" s="51"/>
      <c r="D8" s="52"/>
      <c r="E8" s="53"/>
      <c r="F8" s="51"/>
      <c r="G8" s="52"/>
      <c r="H8" s="53"/>
      <c r="I8" s="51"/>
      <c r="J8" s="52"/>
      <c r="K8" s="53"/>
      <c r="L8" s="51"/>
      <c r="M8" s="52"/>
      <c r="N8" s="53"/>
      <c r="O8" s="51"/>
      <c r="P8" s="52"/>
      <c r="Q8" s="53"/>
    </row>
    <row r="9" spans="2:19" ht="15.75" customHeight="1" x14ac:dyDescent="0.3">
      <c r="B9" s="58"/>
      <c r="C9" s="54"/>
      <c r="D9" s="55"/>
      <c r="E9" s="56"/>
      <c r="F9" s="54"/>
      <c r="G9" s="55"/>
      <c r="H9" s="56"/>
      <c r="I9" s="54"/>
      <c r="J9" s="55"/>
      <c r="K9" s="56"/>
      <c r="L9" s="54"/>
      <c r="M9" s="55"/>
      <c r="N9" s="56"/>
      <c r="O9" s="54"/>
      <c r="P9" s="55"/>
      <c r="Q9" s="56"/>
    </row>
    <row r="10" spans="2:19" ht="14.25" customHeight="1" x14ac:dyDescent="0.3">
      <c r="B10" s="59"/>
      <c r="C10" s="10" t="s">
        <v>30</v>
      </c>
      <c r="D10" s="10" t="s">
        <v>7</v>
      </c>
      <c r="E10" s="9" t="s">
        <v>8</v>
      </c>
      <c r="F10" s="7" t="s">
        <v>9</v>
      </c>
      <c r="G10" s="8" t="s">
        <v>7</v>
      </c>
      <c r="H10" s="9" t="s">
        <v>8</v>
      </c>
      <c r="I10" s="10" t="s">
        <v>30</v>
      </c>
      <c r="J10" s="10" t="s">
        <v>7</v>
      </c>
      <c r="K10" s="9" t="s">
        <v>8</v>
      </c>
      <c r="L10" s="10" t="s">
        <v>30</v>
      </c>
      <c r="M10" s="10" t="s">
        <v>7</v>
      </c>
      <c r="N10" s="9" t="s">
        <v>8</v>
      </c>
      <c r="O10" s="10" t="s">
        <v>30</v>
      </c>
      <c r="P10" s="10" t="s">
        <v>7</v>
      </c>
      <c r="Q10" s="9" t="s">
        <v>8</v>
      </c>
      <c r="R10">
        <v>52</v>
      </c>
    </row>
    <row r="11" spans="2:19" ht="14.5" x14ac:dyDescent="0.3">
      <c r="B11" s="24"/>
      <c r="C11" s="25"/>
      <c r="D11" s="25"/>
      <c r="E11" s="26"/>
      <c r="F11" s="27"/>
      <c r="G11" s="27"/>
      <c r="H11" s="26"/>
      <c r="I11" s="27"/>
      <c r="J11" s="27"/>
      <c r="K11" s="26"/>
      <c r="L11" s="28"/>
      <c r="M11" s="28"/>
      <c r="N11" s="26"/>
      <c r="O11" s="28"/>
      <c r="P11" s="28"/>
      <c r="Q11" s="26"/>
      <c r="S11" s="15"/>
    </row>
    <row r="12" spans="2:19" ht="15" customHeight="1" x14ac:dyDescent="0.3">
      <c r="B12" s="11" t="s">
        <v>21</v>
      </c>
      <c r="C12" s="16">
        <v>0</v>
      </c>
      <c r="D12" s="16">
        <v>0</v>
      </c>
      <c r="E12" s="17">
        <f>SUM(C12:D12)</f>
        <v>0</v>
      </c>
      <c r="F12" s="18">
        <f>[1]Jan25!L44</f>
        <v>0</v>
      </c>
      <c r="G12" s="18">
        <f>[1]Jan25!M44</f>
        <v>0</v>
      </c>
      <c r="H12" s="17">
        <f t="shared" ref="H12:H17" si="0">SUM(F12:G12)</f>
        <v>0</v>
      </c>
      <c r="I12" s="16">
        <v>0</v>
      </c>
      <c r="J12" s="16">
        <v>0</v>
      </c>
      <c r="K12" s="17">
        <f t="shared" ref="K12:K17" si="1">SUM(I12:J12)</f>
        <v>0</v>
      </c>
      <c r="L12" s="16">
        <v>0</v>
      </c>
      <c r="M12" s="16">
        <v>0</v>
      </c>
      <c r="N12" s="17">
        <f t="shared" ref="N12:N18" si="2">L12+M12</f>
        <v>0</v>
      </c>
      <c r="O12" s="16">
        <f>L12/$R$10</f>
        <v>0</v>
      </c>
      <c r="P12" s="16">
        <v>0</v>
      </c>
      <c r="Q12" s="17">
        <f t="shared" ref="Q12:Q17" si="3">O12+P12</f>
        <v>0</v>
      </c>
    </row>
    <row r="13" spans="2:19" ht="18" customHeight="1" x14ac:dyDescent="0.3">
      <c r="B13" s="11" t="s">
        <v>22</v>
      </c>
      <c r="C13" s="16">
        <v>0</v>
      </c>
      <c r="D13" s="16">
        <v>0</v>
      </c>
      <c r="E13" s="17">
        <f t="shared" ref="E13:E17" si="4">SUM(C13:D13)</f>
        <v>0</v>
      </c>
      <c r="F13" s="18">
        <f>[1]Feb25!I41</f>
        <v>0</v>
      </c>
      <c r="G13" s="18">
        <f>[1]Feb25!J41</f>
        <v>0</v>
      </c>
      <c r="H13" s="17">
        <f t="shared" si="0"/>
        <v>0</v>
      </c>
      <c r="I13" s="16">
        <v>0</v>
      </c>
      <c r="J13" s="16">
        <v>0</v>
      </c>
      <c r="K13" s="17">
        <f t="shared" si="1"/>
        <v>0</v>
      </c>
      <c r="L13" s="16">
        <v>0</v>
      </c>
      <c r="M13" s="16">
        <v>0</v>
      </c>
      <c r="N13" s="17">
        <f t="shared" si="2"/>
        <v>0</v>
      </c>
      <c r="O13" s="16">
        <f t="shared" ref="O13:O14" si="5">L13/$R$10</f>
        <v>0</v>
      </c>
      <c r="P13" s="16">
        <v>0</v>
      </c>
      <c r="Q13" s="17">
        <f t="shared" si="3"/>
        <v>0</v>
      </c>
    </row>
    <row r="14" spans="2:19" ht="14.25" customHeight="1" x14ac:dyDescent="0.3">
      <c r="B14" s="11" t="s">
        <v>23</v>
      </c>
      <c r="C14" s="16">
        <v>0</v>
      </c>
      <c r="D14" s="16">
        <v>0</v>
      </c>
      <c r="E14" s="17">
        <f t="shared" si="4"/>
        <v>0</v>
      </c>
      <c r="F14" s="18">
        <f>[1]Mar25!L44</f>
        <v>0</v>
      </c>
      <c r="G14" s="18">
        <f>[1]Mar25!M44</f>
        <v>0</v>
      </c>
      <c r="H14" s="17">
        <f t="shared" si="0"/>
        <v>0</v>
      </c>
      <c r="I14" s="16">
        <v>0</v>
      </c>
      <c r="J14" s="16">
        <v>0</v>
      </c>
      <c r="K14" s="17">
        <f t="shared" si="1"/>
        <v>0</v>
      </c>
      <c r="L14" s="16">
        <v>0</v>
      </c>
      <c r="M14" s="16">
        <v>0</v>
      </c>
      <c r="N14" s="17">
        <f t="shared" si="2"/>
        <v>0</v>
      </c>
      <c r="O14" s="16">
        <f t="shared" si="5"/>
        <v>0</v>
      </c>
      <c r="P14" s="16">
        <v>0</v>
      </c>
      <c r="Q14" s="17">
        <f t="shared" si="3"/>
        <v>0</v>
      </c>
    </row>
    <row r="15" spans="2:19" ht="14.25" customHeight="1" x14ac:dyDescent="0.3">
      <c r="B15" s="12" t="s">
        <v>24</v>
      </c>
      <c r="C15" s="20">
        <f>SUM(C12:C14)</f>
        <v>0</v>
      </c>
      <c r="D15" s="20">
        <f>SUM(D12:D14)</f>
        <v>0</v>
      </c>
      <c r="E15" s="21">
        <f t="shared" si="4"/>
        <v>0</v>
      </c>
      <c r="F15" s="22">
        <f>SUM(F12:F14)</f>
        <v>0</v>
      </c>
      <c r="G15" s="22">
        <f>SUM(G12:G14)</f>
        <v>0</v>
      </c>
      <c r="H15" s="21">
        <f t="shared" si="0"/>
        <v>0</v>
      </c>
      <c r="I15" s="23">
        <f>SUM(I12:I14)</f>
        <v>0</v>
      </c>
      <c r="J15" s="23">
        <f>SUM(J12:J14)</f>
        <v>0</v>
      </c>
      <c r="K15" s="21">
        <f t="shared" si="1"/>
        <v>0</v>
      </c>
      <c r="L15" s="23">
        <f t="shared" ref="L15:M15" si="6">SUM(L12:L14)</f>
        <v>0</v>
      </c>
      <c r="M15" s="23">
        <f t="shared" si="6"/>
        <v>0</v>
      </c>
      <c r="N15" s="21">
        <f t="shared" si="2"/>
        <v>0</v>
      </c>
      <c r="O15" s="23">
        <f t="shared" ref="O15:P15" si="7">SUM(O12:O14)</f>
        <v>0</v>
      </c>
      <c r="P15" s="23">
        <f t="shared" si="7"/>
        <v>0</v>
      </c>
      <c r="Q15" s="21">
        <f t="shared" si="3"/>
        <v>0</v>
      </c>
    </row>
    <row r="16" spans="2:19" ht="15.5" x14ac:dyDescent="0.3">
      <c r="B16" s="11" t="s">
        <v>25</v>
      </c>
      <c r="C16" s="16">
        <v>0</v>
      </c>
      <c r="D16" s="16">
        <v>0</v>
      </c>
      <c r="E16" s="17">
        <f t="shared" si="4"/>
        <v>0</v>
      </c>
      <c r="F16" s="18">
        <f>[1]Apr25!L43</f>
        <v>0</v>
      </c>
      <c r="G16" s="18">
        <f>[1]Apr25!M43</f>
        <v>0</v>
      </c>
      <c r="H16" s="17">
        <f t="shared" si="0"/>
        <v>0</v>
      </c>
      <c r="I16" s="16">
        <v>0</v>
      </c>
      <c r="J16" s="16">
        <v>0</v>
      </c>
      <c r="K16" s="17">
        <f t="shared" si="1"/>
        <v>0</v>
      </c>
      <c r="L16" s="16">
        <v>0</v>
      </c>
      <c r="M16" s="16">
        <v>0</v>
      </c>
      <c r="N16" s="17">
        <f t="shared" si="2"/>
        <v>0</v>
      </c>
      <c r="O16" s="16">
        <f>L16/$R$10</f>
        <v>0</v>
      </c>
      <c r="P16" s="16">
        <v>0</v>
      </c>
      <c r="Q16" s="17">
        <f t="shared" si="3"/>
        <v>0</v>
      </c>
    </row>
    <row r="17" spans="2:19" ht="14.25" customHeight="1" x14ac:dyDescent="0.3">
      <c r="B17" s="11" t="s">
        <v>26</v>
      </c>
      <c r="C17" s="16">
        <v>0</v>
      </c>
      <c r="D17" s="16">
        <v>0</v>
      </c>
      <c r="E17" s="17">
        <f t="shared" si="4"/>
        <v>0</v>
      </c>
      <c r="F17" s="18">
        <f>[1]May25!L44</f>
        <v>0</v>
      </c>
      <c r="G17" s="18">
        <f>[1]May25!M44</f>
        <v>0</v>
      </c>
      <c r="H17" s="17">
        <f t="shared" si="0"/>
        <v>0</v>
      </c>
      <c r="I17" s="16">
        <v>0</v>
      </c>
      <c r="J17" s="16">
        <v>0</v>
      </c>
      <c r="K17" s="17">
        <f t="shared" si="1"/>
        <v>0</v>
      </c>
      <c r="L17" s="16">
        <v>0</v>
      </c>
      <c r="M17" s="16">
        <v>0</v>
      </c>
      <c r="N17" s="17">
        <f t="shared" si="2"/>
        <v>0</v>
      </c>
      <c r="O17" s="16">
        <f t="shared" ref="O17:O26" si="8">L17/$R$10</f>
        <v>0</v>
      </c>
      <c r="P17" s="16">
        <v>0</v>
      </c>
      <c r="Q17" s="17">
        <f t="shared" si="3"/>
        <v>0</v>
      </c>
    </row>
    <row r="18" spans="2:19" ht="14.25" customHeight="1" x14ac:dyDescent="0.3">
      <c r="B18" s="11" t="s">
        <v>10</v>
      </c>
      <c r="C18" s="16">
        <v>31914</v>
      </c>
      <c r="D18" s="16">
        <v>0</v>
      </c>
      <c r="E18" s="17">
        <f t="shared" ref="E18" si="9">SUM(C18:D18)</f>
        <v>31914</v>
      </c>
      <c r="F18" s="18" t="e">
        <f>#REF!</f>
        <v>#REF!</v>
      </c>
      <c r="G18" s="18" t="e">
        <f>#REF!</f>
        <v>#REF!</v>
      </c>
      <c r="H18" s="17" t="e">
        <f t="shared" ref="H18:H21" si="10">SUM(F18:G18)</f>
        <v>#REF!</v>
      </c>
      <c r="I18" s="18">
        <v>603237</v>
      </c>
      <c r="J18" s="16">
        <v>0</v>
      </c>
      <c r="K18" s="17">
        <f t="shared" ref="K18:K27" si="11">SUM(I18:J18)</f>
        <v>603237</v>
      </c>
      <c r="L18" s="19">
        <v>3191</v>
      </c>
      <c r="M18" s="19">
        <v>0</v>
      </c>
      <c r="N18" s="17">
        <f t="shared" si="2"/>
        <v>3191</v>
      </c>
      <c r="O18" s="16">
        <f t="shared" si="8"/>
        <v>61.365384615384613</v>
      </c>
      <c r="P18" s="19">
        <v>0</v>
      </c>
      <c r="Q18" s="17">
        <f t="shared" ref="Q18:Q22" si="12">O18+P18</f>
        <v>61.365384615384613</v>
      </c>
    </row>
    <row r="19" spans="2:19" ht="14.25" customHeight="1" x14ac:dyDescent="0.3">
      <c r="B19" s="12" t="s">
        <v>11</v>
      </c>
      <c r="C19" s="20">
        <f>SUM(C16:C18)</f>
        <v>31914</v>
      </c>
      <c r="D19" s="20">
        <f t="shared" ref="D19:Q19" si="13">SUM(D16:D18)</f>
        <v>0</v>
      </c>
      <c r="E19" s="20">
        <f t="shared" si="13"/>
        <v>31914</v>
      </c>
      <c r="F19" s="20" t="e">
        <f t="shared" si="13"/>
        <v>#REF!</v>
      </c>
      <c r="G19" s="20" t="e">
        <f t="shared" si="13"/>
        <v>#REF!</v>
      </c>
      <c r="H19" s="20" t="e">
        <f t="shared" si="13"/>
        <v>#REF!</v>
      </c>
      <c r="I19" s="20">
        <f t="shared" si="13"/>
        <v>603237</v>
      </c>
      <c r="J19" s="20">
        <f t="shared" si="13"/>
        <v>0</v>
      </c>
      <c r="K19" s="20">
        <f t="shared" si="13"/>
        <v>603237</v>
      </c>
      <c r="L19" s="20">
        <f t="shared" ref="L19:N19" si="14">SUM(L16:L18)</f>
        <v>3191</v>
      </c>
      <c r="M19" s="20">
        <f t="shared" si="14"/>
        <v>0</v>
      </c>
      <c r="N19" s="20">
        <f t="shared" si="14"/>
        <v>3191</v>
      </c>
      <c r="O19" s="20">
        <f t="shared" si="13"/>
        <v>61.365384615384613</v>
      </c>
      <c r="P19" s="20">
        <f t="shared" si="13"/>
        <v>0</v>
      </c>
      <c r="Q19" s="20">
        <f t="shared" si="13"/>
        <v>61.365384615384613</v>
      </c>
    </row>
    <row r="20" spans="2:19" ht="15.5" x14ac:dyDescent="0.3">
      <c r="B20" s="11" t="s">
        <v>12</v>
      </c>
      <c r="C20" s="16">
        <v>29715</v>
      </c>
      <c r="D20" s="16">
        <v>0</v>
      </c>
      <c r="E20" s="17">
        <f t="shared" ref="E20:E22" si="15">SUM(C20:D20)</f>
        <v>29715</v>
      </c>
      <c r="F20" s="18" t="e">
        <f>#REF!</f>
        <v>#REF!</v>
      </c>
      <c r="G20" s="18" t="e">
        <f>#REF!</f>
        <v>#REF!</v>
      </c>
      <c r="H20" s="17" t="e">
        <f t="shared" si="10"/>
        <v>#REF!</v>
      </c>
      <c r="I20" s="18">
        <v>609462</v>
      </c>
      <c r="J20" s="16">
        <v>0</v>
      </c>
      <c r="K20" s="17">
        <f t="shared" si="11"/>
        <v>609462</v>
      </c>
      <c r="L20" s="19">
        <v>3191</v>
      </c>
      <c r="M20" s="19">
        <v>0</v>
      </c>
      <c r="N20" s="17">
        <f t="shared" ref="N20:N22" si="16">L20+M20</f>
        <v>3191</v>
      </c>
      <c r="O20" s="16">
        <f t="shared" si="8"/>
        <v>61.365384615384613</v>
      </c>
      <c r="P20" s="19">
        <v>0</v>
      </c>
      <c r="Q20" s="17">
        <f t="shared" si="12"/>
        <v>61.365384615384613</v>
      </c>
    </row>
    <row r="21" spans="2:19" ht="14.25" customHeight="1" x14ac:dyDescent="0.3">
      <c r="B21" s="11" t="s">
        <v>13</v>
      </c>
      <c r="C21" s="16">
        <v>29167</v>
      </c>
      <c r="D21" s="16">
        <v>0</v>
      </c>
      <c r="E21" s="17">
        <f t="shared" si="15"/>
        <v>29167</v>
      </c>
      <c r="F21" s="18" t="e">
        <f>#REF!</f>
        <v>#REF!</v>
      </c>
      <c r="G21" s="18" t="e">
        <f>#REF!</f>
        <v>#REF!</v>
      </c>
      <c r="H21" s="17" t="e">
        <f t="shared" si="10"/>
        <v>#REF!</v>
      </c>
      <c r="I21" s="18">
        <v>287509</v>
      </c>
      <c r="J21" s="16">
        <v>0</v>
      </c>
      <c r="K21" s="17">
        <f t="shared" si="11"/>
        <v>287509</v>
      </c>
      <c r="L21" s="19">
        <v>270</v>
      </c>
      <c r="M21" s="19">
        <v>0</v>
      </c>
      <c r="N21" s="17">
        <f t="shared" si="16"/>
        <v>270</v>
      </c>
      <c r="O21" s="16">
        <f t="shared" si="8"/>
        <v>5.1923076923076925</v>
      </c>
      <c r="P21" s="19">
        <v>0</v>
      </c>
      <c r="Q21" s="17">
        <f t="shared" si="12"/>
        <v>5.1923076923076925</v>
      </c>
    </row>
    <row r="22" spans="2:19" ht="14.25" customHeight="1" x14ac:dyDescent="0.3">
      <c r="B22" s="11" t="s">
        <v>14</v>
      </c>
      <c r="C22" s="16">
        <v>33555</v>
      </c>
      <c r="D22" s="16">
        <v>0</v>
      </c>
      <c r="E22" s="17">
        <f t="shared" si="15"/>
        <v>33555</v>
      </c>
      <c r="F22" s="18" t="e">
        <f>#REF!</f>
        <v>#REF!</v>
      </c>
      <c r="G22" s="18" t="e">
        <f>#REF!</f>
        <v>#REF!</v>
      </c>
      <c r="H22" s="17" t="e">
        <f t="shared" ref="H22:H27" si="17">SUM(F22:G22)</f>
        <v>#REF!</v>
      </c>
      <c r="I22" s="18">
        <v>260671</v>
      </c>
      <c r="J22" s="16">
        <v>0</v>
      </c>
      <c r="K22" s="17">
        <f t="shared" si="11"/>
        <v>260671</v>
      </c>
      <c r="L22" s="19">
        <v>536</v>
      </c>
      <c r="M22" s="19">
        <v>0</v>
      </c>
      <c r="N22" s="17">
        <f t="shared" si="16"/>
        <v>536</v>
      </c>
      <c r="O22" s="16">
        <f t="shared" si="8"/>
        <v>10.307692307692308</v>
      </c>
      <c r="P22" s="19">
        <v>0</v>
      </c>
      <c r="Q22" s="17">
        <f t="shared" si="12"/>
        <v>10.307692307692308</v>
      </c>
    </row>
    <row r="23" spans="2:19" ht="14.25" customHeight="1" x14ac:dyDescent="0.3">
      <c r="B23" s="12" t="s">
        <v>15</v>
      </c>
      <c r="C23" s="20">
        <f>SUM(C20:C22)</f>
        <v>92437</v>
      </c>
      <c r="D23" s="20">
        <f t="shared" ref="D23:Q23" si="18">SUM(D20:D22)</f>
        <v>0</v>
      </c>
      <c r="E23" s="20">
        <f t="shared" si="18"/>
        <v>92437</v>
      </c>
      <c r="F23" s="20" t="e">
        <f t="shared" si="18"/>
        <v>#REF!</v>
      </c>
      <c r="G23" s="20" t="e">
        <f t="shared" si="18"/>
        <v>#REF!</v>
      </c>
      <c r="H23" s="20" t="e">
        <f t="shared" si="18"/>
        <v>#REF!</v>
      </c>
      <c r="I23" s="20">
        <f t="shared" si="18"/>
        <v>1157642</v>
      </c>
      <c r="J23" s="20">
        <f t="shared" si="18"/>
        <v>0</v>
      </c>
      <c r="K23" s="20">
        <f t="shared" si="18"/>
        <v>1157642</v>
      </c>
      <c r="L23" s="20">
        <f t="shared" ref="L23:N23" si="19">SUM(L20:L22)</f>
        <v>3997</v>
      </c>
      <c r="M23" s="20">
        <f t="shared" si="19"/>
        <v>0</v>
      </c>
      <c r="N23" s="20">
        <f t="shared" si="19"/>
        <v>3997</v>
      </c>
      <c r="O23" s="20">
        <f t="shared" si="18"/>
        <v>76.865384615384613</v>
      </c>
      <c r="P23" s="20">
        <f t="shared" si="18"/>
        <v>0</v>
      </c>
      <c r="Q23" s="20">
        <f t="shared" si="18"/>
        <v>76.865384615384613</v>
      </c>
    </row>
    <row r="24" spans="2:19" ht="15.5" x14ac:dyDescent="0.3">
      <c r="B24" s="11" t="s">
        <v>16</v>
      </c>
      <c r="C24" s="16">
        <v>35619</v>
      </c>
      <c r="D24" s="16">
        <v>0</v>
      </c>
      <c r="E24" s="17">
        <f t="shared" ref="E24:E26" si="20">SUM(C24:D24)</f>
        <v>35619</v>
      </c>
      <c r="F24" s="18" t="e">
        <f>#REF!</f>
        <v>#REF!</v>
      </c>
      <c r="G24" s="18" t="e">
        <f>#REF!</f>
        <v>#REF!</v>
      </c>
      <c r="H24" s="17" t="e">
        <f t="shared" si="17"/>
        <v>#REF!</v>
      </c>
      <c r="I24" s="18">
        <v>509120</v>
      </c>
      <c r="J24" s="16">
        <v>0</v>
      </c>
      <c r="K24" s="17">
        <f t="shared" si="11"/>
        <v>509120</v>
      </c>
      <c r="L24" s="19">
        <v>2058</v>
      </c>
      <c r="M24" s="19">
        <v>0</v>
      </c>
      <c r="N24" s="17">
        <f t="shared" ref="N24:N27" si="21">L24+M24</f>
        <v>2058</v>
      </c>
      <c r="O24" s="16">
        <f t="shared" si="8"/>
        <v>39.57692307692308</v>
      </c>
      <c r="P24" s="19">
        <v>0</v>
      </c>
      <c r="Q24" s="17">
        <f t="shared" ref="Q24:Q27" si="22">O24+P24</f>
        <v>39.57692307692308</v>
      </c>
    </row>
    <row r="25" spans="2:19" ht="14.25" customHeight="1" x14ac:dyDescent="0.3">
      <c r="B25" s="11" t="s">
        <v>17</v>
      </c>
      <c r="C25" s="16">
        <v>35993</v>
      </c>
      <c r="D25" s="16">
        <v>0</v>
      </c>
      <c r="E25" s="17">
        <f t="shared" si="20"/>
        <v>35993</v>
      </c>
      <c r="F25" s="18" t="e">
        <f>#REF!</f>
        <v>#REF!</v>
      </c>
      <c r="G25" s="18" t="e">
        <f>#REF!</f>
        <v>#REF!</v>
      </c>
      <c r="H25" s="17" t="e">
        <f t="shared" si="17"/>
        <v>#REF!</v>
      </c>
      <c r="I25" s="18">
        <v>681220</v>
      </c>
      <c r="J25" s="16">
        <v>0</v>
      </c>
      <c r="K25" s="17">
        <f t="shared" si="11"/>
        <v>681220</v>
      </c>
      <c r="L25" s="19">
        <v>2279</v>
      </c>
      <c r="M25" s="19">
        <v>0</v>
      </c>
      <c r="N25" s="17">
        <f t="shared" si="21"/>
        <v>2279</v>
      </c>
      <c r="O25" s="16">
        <f t="shared" si="8"/>
        <v>43.82692307692308</v>
      </c>
      <c r="P25" s="19">
        <v>0</v>
      </c>
      <c r="Q25" s="17">
        <f t="shared" si="22"/>
        <v>43.82692307692308</v>
      </c>
    </row>
    <row r="26" spans="2:19" ht="14.25" customHeight="1" x14ac:dyDescent="0.3">
      <c r="B26" s="11" t="s">
        <v>18</v>
      </c>
      <c r="C26" s="16">
        <v>26217</v>
      </c>
      <c r="D26" s="16">
        <v>0</v>
      </c>
      <c r="E26" s="17">
        <f t="shared" si="20"/>
        <v>26217</v>
      </c>
      <c r="F26" s="18" t="e">
        <f>#REF!</f>
        <v>#REF!</v>
      </c>
      <c r="G26" s="18" t="e">
        <f>#REF!</f>
        <v>#REF!</v>
      </c>
      <c r="H26" s="17" t="e">
        <f t="shared" si="17"/>
        <v>#REF!</v>
      </c>
      <c r="I26" s="18">
        <v>364971</v>
      </c>
      <c r="J26" s="16">
        <v>0</v>
      </c>
      <c r="K26" s="17">
        <f t="shared" si="11"/>
        <v>364971</v>
      </c>
      <c r="L26" s="19">
        <v>809</v>
      </c>
      <c r="M26" s="19">
        <v>0</v>
      </c>
      <c r="N26" s="17">
        <f t="shared" si="21"/>
        <v>809</v>
      </c>
      <c r="O26" s="16">
        <f t="shared" si="8"/>
        <v>15.557692307692308</v>
      </c>
      <c r="P26" s="19">
        <v>0</v>
      </c>
      <c r="Q26" s="17">
        <f t="shared" si="22"/>
        <v>15.557692307692308</v>
      </c>
    </row>
    <row r="27" spans="2:19" ht="14.25" customHeight="1" x14ac:dyDescent="0.3">
      <c r="B27" s="12" t="s">
        <v>19</v>
      </c>
      <c r="C27" s="43">
        <f t="shared" ref="C27:D27" si="23">SUM(C24:C26)</f>
        <v>97829</v>
      </c>
      <c r="D27" s="43">
        <f t="shared" si="23"/>
        <v>0</v>
      </c>
      <c r="E27" s="44">
        <f t="shared" ref="E27" si="24">SUM(C27:D27)</f>
        <v>97829</v>
      </c>
      <c r="F27" s="45" t="e">
        <f t="shared" ref="F27:G27" si="25">SUM(F24:F26)</f>
        <v>#REF!</v>
      </c>
      <c r="G27" s="45" t="e">
        <f t="shared" si="25"/>
        <v>#REF!</v>
      </c>
      <c r="H27" s="44" t="e">
        <f t="shared" si="17"/>
        <v>#REF!</v>
      </c>
      <c r="I27" s="45">
        <f t="shared" ref="I27:J27" si="26">SUM(I24:I26)</f>
        <v>1555311</v>
      </c>
      <c r="J27" s="45">
        <f t="shared" si="26"/>
        <v>0</v>
      </c>
      <c r="K27" s="44">
        <f t="shared" si="11"/>
        <v>1555311</v>
      </c>
      <c r="L27" s="46">
        <f t="shared" ref="L27:M27" si="27">SUM(L24:L26)</f>
        <v>5146</v>
      </c>
      <c r="M27" s="46">
        <f t="shared" si="27"/>
        <v>0</v>
      </c>
      <c r="N27" s="44">
        <f t="shared" si="21"/>
        <v>5146</v>
      </c>
      <c r="O27" s="46">
        <f t="shared" ref="O27:P27" si="28">SUM(O24:O26)</f>
        <v>98.961538461538467</v>
      </c>
      <c r="P27" s="46">
        <f t="shared" si="28"/>
        <v>0</v>
      </c>
      <c r="Q27" s="44">
        <f t="shared" si="22"/>
        <v>98.961538461538467</v>
      </c>
    </row>
    <row r="28" spans="2:19" ht="18.5" x14ac:dyDescent="0.3">
      <c r="B28" s="33" t="s">
        <v>20</v>
      </c>
      <c r="C28" s="34">
        <f>C19+C23+C27</f>
        <v>222180</v>
      </c>
      <c r="D28" s="34">
        <f t="shared" ref="D28:Q28" si="29">D19+D23+D27</f>
        <v>0</v>
      </c>
      <c r="E28" s="34">
        <f t="shared" si="29"/>
        <v>222180</v>
      </c>
      <c r="F28" s="34" t="e">
        <f t="shared" si="29"/>
        <v>#REF!</v>
      </c>
      <c r="G28" s="34" t="e">
        <f t="shared" si="29"/>
        <v>#REF!</v>
      </c>
      <c r="H28" s="34" t="e">
        <f t="shared" si="29"/>
        <v>#REF!</v>
      </c>
      <c r="I28" s="34">
        <f t="shared" si="29"/>
        <v>3316190</v>
      </c>
      <c r="J28" s="34">
        <f t="shared" si="29"/>
        <v>0</v>
      </c>
      <c r="K28" s="34">
        <f t="shared" si="29"/>
        <v>3316190</v>
      </c>
      <c r="L28" s="34">
        <f t="shared" ref="L28:N28" si="30">L19+L23+L27</f>
        <v>12334</v>
      </c>
      <c r="M28" s="34">
        <f t="shared" si="30"/>
        <v>0</v>
      </c>
      <c r="N28" s="34">
        <f t="shared" si="30"/>
        <v>12334</v>
      </c>
      <c r="O28" s="34">
        <f t="shared" si="29"/>
        <v>237.19230769230768</v>
      </c>
      <c r="P28" s="34">
        <f t="shared" si="29"/>
        <v>0</v>
      </c>
      <c r="Q28" s="34">
        <f t="shared" si="29"/>
        <v>237.19230769230768</v>
      </c>
      <c r="S28" s="15"/>
    </row>
    <row r="29" spans="2:19" ht="15" customHeight="1" x14ac:dyDescent="0.3">
      <c r="B29" s="11" t="s">
        <v>21</v>
      </c>
      <c r="C29" s="16">
        <v>21533</v>
      </c>
      <c r="D29" s="16">
        <v>0</v>
      </c>
      <c r="E29" s="17">
        <f t="shared" ref="E29:E44" si="31">SUM(C29:D29)</f>
        <v>21533</v>
      </c>
      <c r="F29" s="18" t="e">
        <f>#REF!</f>
        <v>#REF!</v>
      </c>
      <c r="G29" s="18" t="e">
        <f>#REF!</f>
        <v>#REF!</v>
      </c>
      <c r="H29" s="17" t="e">
        <f t="shared" ref="H29:H44" si="32">SUM(F29:G29)</f>
        <v>#REF!</v>
      </c>
      <c r="I29" s="18">
        <v>531790</v>
      </c>
      <c r="J29" s="19">
        <v>0</v>
      </c>
      <c r="K29" s="17">
        <f t="shared" ref="K29:K44" si="33">SUM(I29:J29)</f>
        <v>531790</v>
      </c>
      <c r="L29" s="19">
        <v>1482</v>
      </c>
      <c r="M29" s="19">
        <v>0</v>
      </c>
      <c r="N29" s="17">
        <f t="shared" ref="N29:N44" si="34">L29+M29</f>
        <v>1482</v>
      </c>
      <c r="O29" s="16">
        <f t="shared" ref="O29:O31" si="35">L29/$R$10</f>
        <v>28.5</v>
      </c>
      <c r="P29" s="19">
        <v>0</v>
      </c>
      <c r="Q29" s="17">
        <f t="shared" ref="Q29:Q44" si="36">O29+P29</f>
        <v>28.5</v>
      </c>
    </row>
    <row r="30" spans="2:19" ht="18" customHeight="1" x14ac:dyDescent="0.3">
      <c r="B30" s="11" t="s">
        <v>22</v>
      </c>
      <c r="C30" s="16">
        <v>19826</v>
      </c>
      <c r="D30" s="16">
        <v>0</v>
      </c>
      <c r="E30" s="17">
        <f t="shared" si="31"/>
        <v>19826</v>
      </c>
      <c r="F30" s="18" t="e">
        <f>#REF!</f>
        <v>#REF!</v>
      </c>
      <c r="G30" s="18" t="e">
        <f>#REF!</f>
        <v>#REF!</v>
      </c>
      <c r="H30" s="17" t="e">
        <f t="shared" si="32"/>
        <v>#REF!</v>
      </c>
      <c r="I30" s="18">
        <v>474193</v>
      </c>
      <c r="J30" s="19">
        <v>0</v>
      </c>
      <c r="K30" s="17">
        <f t="shared" si="33"/>
        <v>474193</v>
      </c>
      <c r="L30" s="19">
        <v>1303</v>
      </c>
      <c r="M30" s="19">
        <v>0</v>
      </c>
      <c r="N30" s="17">
        <f t="shared" si="34"/>
        <v>1303</v>
      </c>
      <c r="O30" s="16">
        <f t="shared" si="35"/>
        <v>25.057692307692307</v>
      </c>
      <c r="P30" s="19">
        <v>0</v>
      </c>
      <c r="Q30" s="17">
        <f t="shared" si="36"/>
        <v>25.057692307692307</v>
      </c>
    </row>
    <row r="31" spans="2:19" ht="14.25" customHeight="1" x14ac:dyDescent="0.3">
      <c r="B31" s="11" t="s">
        <v>23</v>
      </c>
      <c r="C31" s="16">
        <v>21011</v>
      </c>
      <c r="D31" s="16">
        <v>0</v>
      </c>
      <c r="E31" s="17">
        <f t="shared" si="31"/>
        <v>21011</v>
      </c>
      <c r="F31" s="18" t="e">
        <f>#REF!</f>
        <v>#REF!</v>
      </c>
      <c r="G31" s="18" t="e">
        <f>#REF!</f>
        <v>#REF!</v>
      </c>
      <c r="H31" s="17" t="e">
        <f t="shared" si="32"/>
        <v>#REF!</v>
      </c>
      <c r="I31" s="18">
        <v>345255</v>
      </c>
      <c r="J31" s="19">
        <v>0</v>
      </c>
      <c r="K31" s="17">
        <f t="shared" si="33"/>
        <v>345255</v>
      </c>
      <c r="L31" s="19">
        <v>1443</v>
      </c>
      <c r="M31" s="19">
        <v>0</v>
      </c>
      <c r="N31" s="17">
        <f t="shared" si="34"/>
        <v>1443</v>
      </c>
      <c r="O31" s="16">
        <f t="shared" si="35"/>
        <v>27.75</v>
      </c>
      <c r="P31" s="19">
        <v>0</v>
      </c>
      <c r="Q31" s="17">
        <f t="shared" si="36"/>
        <v>27.75</v>
      </c>
    </row>
    <row r="32" spans="2:19" ht="14.25" customHeight="1" x14ac:dyDescent="0.3">
      <c r="B32" s="47" t="s">
        <v>24</v>
      </c>
      <c r="C32" s="43">
        <f>SUM(C29:C31)</f>
        <v>62370</v>
      </c>
      <c r="D32" s="43">
        <f>SUM(D29:D31)</f>
        <v>0</v>
      </c>
      <c r="E32" s="44">
        <f t="shared" si="31"/>
        <v>62370</v>
      </c>
      <c r="F32" s="45" t="e">
        <f>SUM(F29:F31)</f>
        <v>#REF!</v>
      </c>
      <c r="G32" s="45" t="e">
        <f>SUM(G29:G31)</f>
        <v>#REF!</v>
      </c>
      <c r="H32" s="44" t="e">
        <f t="shared" si="32"/>
        <v>#REF!</v>
      </c>
      <c r="I32" s="45">
        <f>SUM(I29:I31)</f>
        <v>1351238</v>
      </c>
      <c r="J32" s="45">
        <f>SUM(J29:J31)</f>
        <v>0</v>
      </c>
      <c r="K32" s="44">
        <f t="shared" si="33"/>
        <v>1351238</v>
      </c>
      <c r="L32" s="46">
        <f>SUM(L29:L31)</f>
        <v>4228</v>
      </c>
      <c r="M32" s="46">
        <f>SUM(M29:M31)</f>
        <v>0</v>
      </c>
      <c r="N32" s="44">
        <f t="shared" si="34"/>
        <v>4228</v>
      </c>
      <c r="O32" s="46">
        <f>SUM(O29:O31)</f>
        <v>81.307692307692307</v>
      </c>
      <c r="P32" s="46">
        <f>SUM(P29:P31)</f>
        <v>0</v>
      </c>
      <c r="Q32" s="44">
        <f t="shared" si="36"/>
        <v>81.307692307692307</v>
      </c>
    </row>
    <row r="33" spans="2:19" ht="15.5" x14ac:dyDescent="0.3">
      <c r="B33" s="11" t="s">
        <v>25</v>
      </c>
      <c r="C33" s="16">
        <v>32781</v>
      </c>
      <c r="D33" s="16">
        <v>0</v>
      </c>
      <c r="E33" s="17">
        <f t="shared" si="31"/>
        <v>32781</v>
      </c>
      <c r="F33" s="18" t="e">
        <f>#REF!</f>
        <v>#REF!</v>
      </c>
      <c r="G33" s="18" t="e">
        <f>#REF!</f>
        <v>#REF!</v>
      </c>
      <c r="H33" s="17" t="e">
        <f t="shared" si="32"/>
        <v>#REF!</v>
      </c>
      <c r="I33" s="18">
        <v>771620</v>
      </c>
      <c r="J33" s="16">
        <v>0</v>
      </c>
      <c r="K33" s="17">
        <f t="shared" si="33"/>
        <v>771620</v>
      </c>
      <c r="L33" s="19">
        <v>2162</v>
      </c>
      <c r="M33" s="19">
        <v>0</v>
      </c>
      <c r="N33" s="17">
        <f t="shared" si="34"/>
        <v>2162</v>
      </c>
      <c r="O33" s="16">
        <f t="shared" ref="O33:O35" si="37">L33/$R$10</f>
        <v>41.57692307692308</v>
      </c>
      <c r="P33" s="19">
        <v>0</v>
      </c>
      <c r="Q33" s="17">
        <f t="shared" si="36"/>
        <v>41.57692307692308</v>
      </c>
    </row>
    <row r="34" spans="2:19" ht="14.25" customHeight="1" x14ac:dyDescent="0.3">
      <c r="B34" s="38" t="s">
        <v>26</v>
      </c>
      <c r="C34" s="39">
        <v>29578</v>
      </c>
      <c r="D34" s="39">
        <v>0</v>
      </c>
      <c r="E34" s="17">
        <f t="shared" si="31"/>
        <v>29578</v>
      </c>
      <c r="F34" s="41" t="e">
        <f>#REF!</f>
        <v>#REF!</v>
      </c>
      <c r="G34" s="41" t="e">
        <f>#REF!</f>
        <v>#REF!</v>
      </c>
      <c r="H34" s="40" t="e">
        <f t="shared" si="32"/>
        <v>#REF!</v>
      </c>
      <c r="I34" s="41">
        <v>369677</v>
      </c>
      <c r="J34" s="39">
        <v>0</v>
      </c>
      <c r="K34" s="17">
        <f t="shared" si="33"/>
        <v>369677</v>
      </c>
      <c r="L34" s="42">
        <v>1315</v>
      </c>
      <c r="M34" s="42">
        <v>0</v>
      </c>
      <c r="N34" s="17">
        <f t="shared" si="34"/>
        <v>1315</v>
      </c>
      <c r="O34" s="16">
        <f t="shared" si="37"/>
        <v>25.28846153846154</v>
      </c>
      <c r="P34" s="42">
        <v>0</v>
      </c>
      <c r="Q34" s="17">
        <f t="shared" si="36"/>
        <v>25.28846153846154</v>
      </c>
    </row>
    <row r="35" spans="2:19" ht="14.25" customHeight="1" x14ac:dyDescent="0.3">
      <c r="B35" s="11" t="s">
        <v>10</v>
      </c>
      <c r="C35" s="16">
        <v>0</v>
      </c>
      <c r="D35" s="16">
        <v>0</v>
      </c>
      <c r="E35" s="17">
        <f t="shared" si="31"/>
        <v>0</v>
      </c>
      <c r="F35" s="18" t="e">
        <f>#REF!</f>
        <v>#REF!</v>
      </c>
      <c r="G35" s="18" t="e">
        <f>#REF!</f>
        <v>#REF!</v>
      </c>
      <c r="H35" s="17" t="e">
        <f t="shared" si="32"/>
        <v>#REF!</v>
      </c>
      <c r="I35" s="18">
        <v>0</v>
      </c>
      <c r="J35" s="16">
        <v>0</v>
      </c>
      <c r="K35" s="17">
        <f t="shared" si="33"/>
        <v>0</v>
      </c>
      <c r="L35" s="19">
        <v>0</v>
      </c>
      <c r="M35" s="19">
        <v>0</v>
      </c>
      <c r="N35" s="17">
        <f t="shared" si="34"/>
        <v>0</v>
      </c>
      <c r="O35" s="16">
        <f t="shared" si="37"/>
        <v>0</v>
      </c>
      <c r="P35" s="19">
        <v>0</v>
      </c>
      <c r="Q35" s="17">
        <f t="shared" si="36"/>
        <v>0</v>
      </c>
    </row>
    <row r="36" spans="2:19" ht="14.25" customHeight="1" x14ac:dyDescent="0.3">
      <c r="B36" s="47" t="s">
        <v>11</v>
      </c>
      <c r="C36" s="43">
        <f t="shared" ref="C36:D36" si="38">SUM(C33:C35)</f>
        <v>62359</v>
      </c>
      <c r="D36" s="43">
        <f t="shared" si="38"/>
        <v>0</v>
      </c>
      <c r="E36" s="44">
        <f t="shared" si="31"/>
        <v>62359</v>
      </c>
      <c r="F36" s="45" t="e">
        <f t="shared" ref="F36:G36" si="39">SUM(F33:F35)</f>
        <v>#REF!</v>
      </c>
      <c r="G36" s="45" t="e">
        <f t="shared" si="39"/>
        <v>#REF!</v>
      </c>
      <c r="H36" s="44" t="e">
        <f t="shared" si="32"/>
        <v>#REF!</v>
      </c>
      <c r="I36" s="45">
        <f t="shared" ref="I36:J36" si="40">SUM(I33:I35)</f>
        <v>1141297</v>
      </c>
      <c r="J36" s="45">
        <f t="shared" si="40"/>
        <v>0</v>
      </c>
      <c r="K36" s="44">
        <f t="shared" si="33"/>
        <v>1141297</v>
      </c>
      <c r="L36" s="46">
        <f t="shared" ref="L36:M36" si="41">SUM(L33:L35)</f>
        <v>3477</v>
      </c>
      <c r="M36" s="46">
        <f t="shared" si="41"/>
        <v>0</v>
      </c>
      <c r="N36" s="44">
        <f t="shared" si="34"/>
        <v>3477</v>
      </c>
      <c r="O36" s="46">
        <f t="shared" ref="O36:P36" si="42">SUM(O33:O35)</f>
        <v>66.865384615384613</v>
      </c>
      <c r="P36" s="46">
        <f t="shared" si="42"/>
        <v>0</v>
      </c>
      <c r="Q36" s="44">
        <f t="shared" si="36"/>
        <v>66.865384615384613</v>
      </c>
    </row>
    <row r="37" spans="2:19" ht="15.5" x14ac:dyDescent="0.3">
      <c r="B37" s="11" t="s">
        <v>12</v>
      </c>
      <c r="C37" s="16">
        <v>0</v>
      </c>
      <c r="D37" s="16">
        <v>0</v>
      </c>
      <c r="E37" s="17">
        <f t="shared" si="31"/>
        <v>0</v>
      </c>
      <c r="F37" s="18" t="e">
        <f>#REF!</f>
        <v>#REF!</v>
      </c>
      <c r="G37" s="18" t="e">
        <f>#REF!</f>
        <v>#REF!</v>
      </c>
      <c r="H37" s="17" t="e">
        <f t="shared" si="32"/>
        <v>#REF!</v>
      </c>
      <c r="I37" s="18">
        <v>0</v>
      </c>
      <c r="J37" s="16">
        <v>0</v>
      </c>
      <c r="K37" s="17">
        <f t="shared" si="33"/>
        <v>0</v>
      </c>
      <c r="L37" s="19">
        <v>0</v>
      </c>
      <c r="M37" s="19">
        <v>0</v>
      </c>
      <c r="N37" s="17">
        <f t="shared" si="34"/>
        <v>0</v>
      </c>
      <c r="O37" s="19">
        <v>0</v>
      </c>
      <c r="P37" s="19">
        <v>0</v>
      </c>
      <c r="Q37" s="17">
        <f t="shared" si="36"/>
        <v>0</v>
      </c>
    </row>
    <row r="38" spans="2:19" ht="14.25" customHeight="1" x14ac:dyDescent="0.3">
      <c r="B38" s="11" t="s">
        <v>13</v>
      </c>
      <c r="C38" s="16">
        <v>0</v>
      </c>
      <c r="D38" s="16">
        <v>0</v>
      </c>
      <c r="E38" s="17">
        <f t="shared" si="31"/>
        <v>0</v>
      </c>
      <c r="F38" s="18" t="e">
        <f>#REF!</f>
        <v>#REF!</v>
      </c>
      <c r="G38" s="18" t="e">
        <f>#REF!</f>
        <v>#REF!</v>
      </c>
      <c r="H38" s="17" t="e">
        <f t="shared" si="32"/>
        <v>#REF!</v>
      </c>
      <c r="I38" s="18">
        <v>0</v>
      </c>
      <c r="J38" s="16">
        <v>0</v>
      </c>
      <c r="K38" s="17">
        <f t="shared" si="33"/>
        <v>0</v>
      </c>
      <c r="L38" s="19">
        <v>0</v>
      </c>
      <c r="M38" s="19">
        <v>0</v>
      </c>
      <c r="N38" s="17">
        <f t="shared" si="34"/>
        <v>0</v>
      </c>
      <c r="O38" s="19">
        <v>0</v>
      </c>
      <c r="P38" s="19">
        <v>0</v>
      </c>
      <c r="Q38" s="17">
        <f t="shared" si="36"/>
        <v>0</v>
      </c>
    </row>
    <row r="39" spans="2:19" ht="14.25" customHeight="1" x14ac:dyDescent="0.3">
      <c r="B39" s="11" t="s">
        <v>14</v>
      </c>
      <c r="C39" s="16">
        <v>0</v>
      </c>
      <c r="D39" s="16">
        <v>0</v>
      </c>
      <c r="E39" s="17">
        <f t="shared" si="31"/>
        <v>0</v>
      </c>
      <c r="F39" s="18" t="e">
        <f>#REF!</f>
        <v>#REF!</v>
      </c>
      <c r="G39" s="18" t="e">
        <f>#REF!</f>
        <v>#REF!</v>
      </c>
      <c r="H39" s="17" t="e">
        <f t="shared" si="32"/>
        <v>#REF!</v>
      </c>
      <c r="I39" s="18">
        <v>0</v>
      </c>
      <c r="J39" s="16">
        <v>0</v>
      </c>
      <c r="K39" s="17">
        <f t="shared" si="33"/>
        <v>0</v>
      </c>
      <c r="L39" s="19">
        <v>0</v>
      </c>
      <c r="M39" s="19">
        <v>0</v>
      </c>
      <c r="N39" s="17">
        <f t="shared" si="34"/>
        <v>0</v>
      </c>
      <c r="O39" s="19">
        <v>0</v>
      </c>
      <c r="P39" s="19">
        <v>0</v>
      </c>
      <c r="Q39" s="17">
        <f t="shared" si="36"/>
        <v>0</v>
      </c>
    </row>
    <row r="40" spans="2:19" ht="14.25" customHeight="1" x14ac:dyDescent="0.3">
      <c r="B40" s="12" t="s">
        <v>15</v>
      </c>
      <c r="C40" s="20">
        <f>SUM(C39:C39)</f>
        <v>0</v>
      </c>
      <c r="D40" s="20">
        <f>SUM(D39:D39)</f>
        <v>0</v>
      </c>
      <c r="E40" s="21">
        <f t="shared" si="31"/>
        <v>0</v>
      </c>
      <c r="F40" s="22" t="e">
        <f>SUM(F39:F39)</f>
        <v>#REF!</v>
      </c>
      <c r="G40" s="22" t="e">
        <f>SUM(G39:G39)</f>
        <v>#REF!</v>
      </c>
      <c r="H40" s="21" t="e">
        <f t="shared" si="32"/>
        <v>#REF!</v>
      </c>
      <c r="I40" s="22">
        <f>SUM(I39:I39)</f>
        <v>0</v>
      </c>
      <c r="J40" s="22">
        <f>SUM(J39:J39)</f>
        <v>0</v>
      </c>
      <c r="K40" s="21">
        <f t="shared" si="33"/>
        <v>0</v>
      </c>
      <c r="L40" s="23">
        <f>SUM(L37:L39)</f>
        <v>0</v>
      </c>
      <c r="M40" s="23">
        <f>SUM(M37:M39)</f>
        <v>0</v>
      </c>
      <c r="N40" s="17">
        <f t="shared" si="34"/>
        <v>0</v>
      </c>
      <c r="O40" s="23">
        <f>SUM(O37:O39)</f>
        <v>0</v>
      </c>
      <c r="P40" s="23">
        <f>SUM(P37:P39)</f>
        <v>0</v>
      </c>
      <c r="Q40" s="17">
        <f t="shared" si="36"/>
        <v>0</v>
      </c>
    </row>
    <row r="41" spans="2:19" ht="15.5" x14ac:dyDescent="0.3">
      <c r="B41" s="11" t="s">
        <v>16</v>
      </c>
      <c r="C41" s="16">
        <v>0</v>
      </c>
      <c r="D41" s="16">
        <v>0</v>
      </c>
      <c r="E41" s="17">
        <f t="shared" si="31"/>
        <v>0</v>
      </c>
      <c r="F41" s="18" t="e">
        <f>#REF!</f>
        <v>#REF!</v>
      </c>
      <c r="G41" s="18" t="e">
        <f>#REF!</f>
        <v>#REF!</v>
      </c>
      <c r="H41" s="17" t="e">
        <f t="shared" si="32"/>
        <v>#REF!</v>
      </c>
      <c r="I41" s="18">
        <v>0</v>
      </c>
      <c r="J41" s="16">
        <v>0</v>
      </c>
      <c r="K41" s="17">
        <f t="shared" si="33"/>
        <v>0</v>
      </c>
      <c r="L41" s="19">
        <v>0</v>
      </c>
      <c r="M41" s="19">
        <v>0</v>
      </c>
      <c r="N41" s="17">
        <f t="shared" si="34"/>
        <v>0</v>
      </c>
      <c r="O41" s="19">
        <v>0</v>
      </c>
      <c r="P41" s="19">
        <v>0</v>
      </c>
      <c r="Q41" s="17">
        <f t="shared" si="36"/>
        <v>0</v>
      </c>
    </row>
    <row r="42" spans="2:19" ht="14.25" customHeight="1" x14ac:dyDescent="0.3">
      <c r="B42" s="11" t="s">
        <v>17</v>
      </c>
      <c r="C42" s="16">
        <v>0</v>
      </c>
      <c r="D42" s="16">
        <v>0</v>
      </c>
      <c r="E42" s="17">
        <f t="shared" si="31"/>
        <v>0</v>
      </c>
      <c r="F42" s="18" t="e">
        <f>#REF!</f>
        <v>#REF!</v>
      </c>
      <c r="G42" s="18" t="e">
        <f>#REF!</f>
        <v>#REF!</v>
      </c>
      <c r="H42" s="17" t="e">
        <f t="shared" si="32"/>
        <v>#REF!</v>
      </c>
      <c r="I42" s="18">
        <v>0</v>
      </c>
      <c r="J42" s="16">
        <v>0</v>
      </c>
      <c r="K42" s="17">
        <f t="shared" si="33"/>
        <v>0</v>
      </c>
      <c r="L42" s="19">
        <v>0</v>
      </c>
      <c r="M42" s="19">
        <v>0</v>
      </c>
      <c r="N42" s="17">
        <f t="shared" si="34"/>
        <v>0</v>
      </c>
      <c r="O42" s="19">
        <v>0</v>
      </c>
      <c r="P42" s="19">
        <v>0</v>
      </c>
      <c r="Q42" s="17">
        <f t="shared" si="36"/>
        <v>0</v>
      </c>
    </row>
    <row r="43" spans="2:19" ht="14.25" customHeight="1" x14ac:dyDescent="0.3">
      <c r="B43" s="11" t="s">
        <v>18</v>
      </c>
      <c r="C43" s="16">
        <v>0</v>
      </c>
      <c r="D43" s="16">
        <v>0</v>
      </c>
      <c r="E43" s="17">
        <f t="shared" si="31"/>
        <v>0</v>
      </c>
      <c r="F43" s="18" t="e">
        <f>#REF!</f>
        <v>#REF!</v>
      </c>
      <c r="G43" s="18" t="e">
        <f>#REF!</f>
        <v>#REF!</v>
      </c>
      <c r="H43" s="17" t="e">
        <f t="shared" si="32"/>
        <v>#REF!</v>
      </c>
      <c r="I43" s="18">
        <v>0</v>
      </c>
      <c r="J43" s="16">
        <v>0</v>
      </c>
      <c r="K43" s="17">
        <f t="shared" si="33"/>
        <v>0</v>
      </c>
      <c r="L43" s="19">
        <v>0</v>
      </c>
      <c r="M43" s="19">
        <v>0</v>
      </c>
      <c r="N43" s="17">
        <f t="shared" si="34"/>
        <v>0</v>
      </c>
      <c r="O43" s="19">
        <v>0</v>
      </c>
      <c r="P43" s="19">
        <v>0</v>
      </c>
      <c r="Q43" s="17">
        <f t="shared" si="36"/>
        <v>0</v>
      </c>
    </row>
    <row r="44" spans="2:19" ht="14.25" customHeight="1" x14ac:dyDescent="0.3">
      <c r="B44" s="12" t="s">
        <v>19</v>
      </c>
      <c r="C44" s="20">
        <f t="shared" ref="C44:D44" si="43">SUM(C41:C43)</f>
        <v>0</v>
      </c>
      <c r="D44" s="20">
        <f t="shared" si="43"/>
        <v>0</v>
      </c>
      <c r="E44" s="21">
        <f t="shared" si="31"/>
        <v>0</v>
      </c>
      <c r="F44" s="22" t="e">
        <f t="shared" ref="F44:G44" si="44">SUM(F41:F43)</f>
        <v>#REF!</v>
      </c>
      <c r="G44" s="22" t="e">
        <f t="shared" si="44"/>
        <v>#REF!</v>
      </c>
      <c r="H44" s="21" t="e">
        <f t="shared" si="32"/>
        <v>#REF!</v>
      </c>
      <c r="I44" s="22">
        <f t="shared" ref="I44:J44" si="45">SUM(I41:I43)</f>
        <v>0</v>
      </c>
      <c r="J44" s="22">
        <f t="shared" si="45"/>
        <v>0</v>
      </c>
      <c r="K44" s="21">
        <f t="shared" si="33"/>
        <v>0</v>
      </c>
      <c r="L44" s="23">
        <f t="shared" ref="L44:M44" si="46">SUM(L41:L43)</f>
        <v>0</v>
      </c>
      <c r="M44" s="23">
        <f t="shared" si="46"/>
        <v>0</v>
      </c>
      <c r="N44" s="21">
        <f t="shared" si="34"/>
        <v>0</v>
      </c>
      <c r="O44" s="23">
        <f t="shared" ref="O44:P44" si="47">SUM(O41:O43)</f>
        <v>0</v>
      </c>
      <c r="P44" s="23">
        <f t="shared" si="47"/>
        <v>0</v>
      </c>
      <c r="Q44" s="21">
        <f t="shared" si="36"/>
        <v>0</v>
      </c>
    </row>
    <row r="45" spans="2:19" ht="18.5" x14ac:dyDescent="0.3">
      <c r="B45" s="35" t="s">
        <v>27</v>
      </c>
      <c r="C45" s="36">
        <f>C32+C36+C40+C44</f>
        <v>124729</v>
      </c>
      <c r="D45" s="36">
        <f t="shared" ref="D45:K45" si="48">D32+D36+D40+D44</f>
        <v>0</v>
      </c>
      <c r="E45" s="36">
        <f t="shared" si="48"/>
        <v>124729</v>
      </c>
      <c r="F45" s="36" t="e">
        <f t="shared" si="48"/>
        <v>#REF!</v>
      </c>
      <c r="G45" s="36" t="e">
        <f t="shared" si="48"/>
        <v>#REF!</v>
      </c>
      <c r="H45" s="36" t="e">
        <f t="shared" si="48"/>
        <v>#REF!</v>
      </c>
      <c r="I45" s="36">
        <f t="shared" si="48"/>
        <v>2492535</v>
      </c>
      <c r="J45" s="36">
        <f t="shared" si="48"/>
        <v>0</v>
      </c>
      <c r="K45" s="36">
        <f t="shared" si="48"/>
        <v>2492535</v>
      </c>
      <c r="L45" s="36">
        <f>L32+L36+L40+L44</f>
        <v>7705</v>
      </c>
      <c r="M45" s="36">
        <f t="shared" ref="M45:N45" si="49">M32+M36+M40+M44</f>
        <v>0</v>
      </c>
      <c r="N45" s="36">
        <f t="shared" si="49"/>
        <v>7705</v>
      </c>
      <c r="O45" s="36">
        <f>O32+O36+O40+O44</f>
        <v>148.17307692307691</v>
      </c>
      <c r="P45" s="36">
        <f t="shared" ref="P45:Q45" si="50">P32+P36+P40+P44</f>
        <v>0</v>
      </c>
      <c r="Q45" s="36">
        <f t="shared" si="50"/>
        <v>148.17307692307691</v>
      </c>
      <c r="S45" s="15"/>
    </row>
    <row r="46" spans="2:19" ht="15" customHeight="1" x14ac:dyDescent="0.3">
      <c r="B46" s="30" t="s">
        <v>28</v>
      </c>
      <c r="C46" s="31">
        <f>C28+C45</f>
        <v>346909</v>
      </c>
      <c r="D46" s="31" t="s">
        <v>29</v>
      </c>
      <c r="E46" s="29"/>
      <c r="F46" s="29"/>
      <c r="G46" s="29"/>
      <c r="H46" s="29"/>
      <c r="I46" s="31">
        <f>(I28+I45)*1.25/1000</f>
        <v>7260.90625</v>
      </c>
      <c r="J46" s="29" t="s">
        <v>31</v>
      </c>
      <c r="K46" s="29"/>
      <c r="L46" s="31"/>
      <c r="M46" s="13"/>
      <c r="N46" s="29"/>
      <c r="O46" s="31">
        <f>(O28+O45)</f>
        <v>385.36538461538458</v>
      </c>
      <c r="P46" s="13" t="s">
        <v>29</v>
      </c>
      <c r="Q46" s="29"/>
    </row>
    <row r="47" spans="2:19" ht="15.5" x14ac:dyDescent="0.3">
      <c r="B47" s="1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P47" s="14"/>
      <c r="Q47" s="14"/>
    </row>
    <row r="48" spans="2:19" ht="15.5" x14ac:dyDescent="0.3">
      <c r="B48" s="1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37"/>
      <c r="P48" s="14"/>
      <c r="Q48" s="14"/>
    </row>
    <row r="49" spans="2:17" ht="15.5" x14ac:dyDescent="0.3">
      <c r="B49" s="1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37"/>
      <c r="P49" s="14"/>
      <c r="Q49" s="14"/>
    </row>
    <row r="50" spans="2:17" ht="15.5" x14ac:dyDescent="0.3">
      <c r="B50" s="1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2" spans="2:17" ht="14.25" customHeight="1" x14ac:dyDescent="0.3"/>
    <row r="53" spans="2:17" ht="14.25" customHeight="1" x14ac:dyDescent="0.45">
      <c r="B53" s="3"/>
      <c r="C53" s="3"/>
      <c r="D53" s="3"/>
      <c r="E53" s="3"/>
      <c r="L53" s="3"/>
      <c r="M53" s="3"/>
      <c r="N53" s="3"/>
      <c r="O53" s="3"/>
      <c r="P53" s="3"/>
      <c r="Q53" s="3"/>
    </row>
    <row r="54" spans="2:17" ht="14.25" customHeight="1" x14ac:dyDescent="0.4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2:17" ht="18" customHeight="1" x14ac:dyDescent="0.45">
      <c r="B55" s="3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2:17" ht="14.25" customHeight="1" x14ac:dyDescent="0.45">
      <c r="B56" s="3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2:17" ht="14.25" customHeight="1" x14ac:dyDescent="0.45">
      <c r="B57" s="3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2:17" ht="18" customHeight="1" x14ac:dyDescent="0.45">
      <c r="B58" s="3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2:17" ht="14.25" customHeight="1" x14ac:dyDescent="0.45">
      <c r="B59" s="3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2:17" ht="14.25" customHeight="1" x14ac:dyDescent="0.45">
      <c r="B60" s="3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2:17" ht="14.25" customHeight="1" x14ac:dyDescent="0.45">
      <c r="B61" s="3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2:17" ht="14.25" customHeight="1" x14ac:dyDescent="0.45">
      <c r="B62" s="3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2:17" ht="14.25" customHeight="1" x14ac:dyDescent="0.45">
      <c r="B63" s="3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2:17" ht="14.25" customHeight="1" x14ac:dyDescent="0.45">
      <c r="B64" s="3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2:17" ht="14.25" customHeight="1" x14ac:dyDescent="0.45">
      <c r="B65" s="3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2:17" ht="14.25" customHeight="1" x14ac:dyDescent="0.45">
      <c r="B66" s="3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2:17" ht="14.25" customHeight="1" x14ac:dyDescent="0.5">
      <c r="B67" s="4"/>
    </row>
    <row r="68" spans="2:17" ht="14.25" customHeight="1" x14ac:dyDescent="0.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2:17" ht="14.25" customHeight="1" x14ac:dyDescent="0.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2:17" ht="14.25" customHeight="1" x14ac:dyDescent="0.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2:17" ht="14.25" customHeight="1" x14ac:dyDescent="0.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2:17" ht="14.25" customHeight="1" x14ac:dyDescent="0.5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2:17" ht="14.25" customHeight="1" x14ac:dyDescent="0.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2:17" ht="14.25" customHeight="1" x14ac:dyDescent="0.5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2:17" ht="14.25" customHeight="1" x14ac:dyDescent="0.3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2:17" ht="14.25" customHeight="1" x14ac:dyDescent="0.35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2:17" ht="14.25" customHeight="1" x14ac:dyDescent="0.5"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2:17" ht="14.25" customHeight="1" x14ac:dyDescent="0.5">
      <c r="B78" s="4"/>
    </row>
    <row r="79" spans="2:17" ht="14.25" customHeight="1" x14ac:dyDescent="0.5">
      <c r="B79" s="4"/>
    </row>
    <row r="80" spans="2:17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</sheetData>
  <mergeCells count="6">
    <mergeCell ref="O5:Q9"/>
    <mergeCell ref="B5:B10"/>
    <mergeCell ref="C5:E9"/>
    <mergeCell ref="F5:H9"/>
    <mergeCell ref="L5:N9"/>
    <mergeCell ref="I5:K9"/>
  </mergeCells>
  <pageMargins left="0.7" right="0.7" top="0.75" bottom="0.75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(2025- 2026)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Hanib Libon</dc:creator>
  <cp:keywords/>
  <dc:description/>
  <cp:lastModifiedBy>Nur Hidayah Misnan</cp:lastModifiedBy>
  <cp:revision/>
  <dcterms:created xsi:type="dcterms:W3CDTF">2021-09-08T12:59:20Z</dcterms:created>
  <dcterms:modified xsi:type="dcterms:W3CDTF">2026-07-20T01:36:25Z</dcterms:modified>
  <cp:category/>
  <cp:contentStatus/>
</cp:coreProperties>
</file>