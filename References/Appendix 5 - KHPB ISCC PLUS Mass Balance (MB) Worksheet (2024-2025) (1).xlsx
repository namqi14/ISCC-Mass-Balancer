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(2024-2025)" sheetId="1" r:id="rId4"/>
    <sheet state="visible" name="Sep24" sheetId="2" r:id="rId5"/>
    <sheet state="visible" name="Oct24" sheetId="3" r:id="rId6"/>
    <sheet state="visible" name="Nov24" sheetId="4" r:id="rId7"/>
    <sheet state="visible" name="Dec24" sheetId="5" r:id="rId8"/>
    <sheet state="visible" name="Jan25" sheetId="6" r:id="rId9"/>
    <sheet state="visible" name="Feb25" sheetId="7" r:id="rId10"/>
    <sheet state="visible" name="Mar25" sheetId="8" r:id="rId11"/>
    <sheet state="visible" name="Apr25" sheetId="9" r:id="rId12"/>
    <sheet state="visible" name="May25" sheetId="10" r:id="rId13"/>
    <sheet state="visible" name="Jun25" sheetId="11" r:id="rId14"/>
    <sheet state="visible" name="Jul25" sheetId="12" r:id="rId15"/>
    <sheet state="visible" name="Aug25" sheetId="13" r:id="rId16"/>
    <sheet state="hidden" name="Reference" sheetId="14" r:id="rId17"/>
  </sheets>
  <definedNames/>
  <calcPr/>
  <extLst>
    <ext uri="GoogleSheetsCustomDataVersion2">
      <go:sheetsCustomData xmlns:go="http://customooxmlschemas.google.com/" r:id="rId18" roundtripDataChecksum="hq6UwVI+api4OwGlPFjjeboHvvQb/7srrTm7pLLDb3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5">
      <text>
        <t xml:space="preserve">======
ID#AAABos9iTqg
Nur Hidayah Misnan    (2025-07-29 07:37:53)
amount ch4 from gas/0.95 (purity)</t>
      </text>
    </comment>
    <comment authorId="0" ref="X5">
      <text>
        <t xml:space="preserve">======
ID#AAABos9iTqM
Nur Hidayah Misnan    (2025-07-29 07:37:53)
https://airpack.nl/tools/capacity/sm3-hr-nm3-hr-conversion/</t>
      </text>
    </comment>
    <comment authorId="0" ref="F5">
      <text>
        <t xml:space="preserve">======
ID#AAABos9iTqA
Nur Hidayah Misnan    (2025-07-29 07:37:53)
Incoming POME x COD removal x 0.35 (conversion rate to biomethane) / 1000 / 0.55 (biomethane ratio)</t>
      </text>
    </comment>
    <comment authorId="0" ref="R5">
      <text>
        <t xml:space="preserve">======
ID#AAABos9iTps
Nur Hidayah Misnan    (2025-07-29 07:37:53)
biogas volume*0.55 (methane content)</t>
      </text>
    </comment>
    <comment authorId="0" ref="L5">
      <text>
        <t xml:space="preserve">======
ID#AAABos9iTpc
Nur Hidayah Misnan    (2025-07-29 07:37:53)
Daily gas engine (kwh)/engine efficiency/biogas energy content =xx/0.56/0.5</t>
      </text>
    </comment>
    <comment authorId="0" ref="B21">
      <text>
        <t xml:space="preserve">======
ID#AAABos9iTpA
Nur Hidayah Misnan    (2025-07-29 07:37:53)
Certified ISCC Plus from 24 September 2024</t>
      </text>
    </comment>
    <comment authorId="0" ref="I5">
      <text>
        <t xml:space="preserve">======
ID#AAABos9iTn4
Nur Hidayah Misnan    (2025-07-29 07:37:53)
Data from Biomethane Operational Report</t>
      </text>
    </comment>
  </commentList>
  <extLst>
    <ext uri="GoogleSheetsCustomDataVersion2">
      <go:sheetsCustomData xmlns:go="http://customooxmlschemas.google.com/" r:id="rId1" roundtripDataSignature="AMtx7mh4+My74kKMjhBXElsvvrW1yxOhy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O5">
      <text>
        <t xml:space="preserve">======
ID#AAABos9iTqY
Nur Hidayah Misnan    (2025-07-29 07:37:53)
Daily gas engine (kwh)/engine efficiency/biogas energy content =xx/0.55/0.5</t>
      </text>
    </comment>
    <comment authorId="0" ref="I5">
      <text>
        <t xml:space="preserve">======
ID#AAABos9iToo
Nur Hidayah Misnan    (2025-07-29 07:37:53)
Incoming POME x COD removal x 0.35 (conversion rate to biomethane) / 1000 / 0.55 (biomethane ratio)</t>
      </text>
    </comment>
    <comment authorId="0" ref="B35">
      <text>
        <t xml:space="preserve">======
ID#AAABos9iToc
Nur Hidayah Misnan    (2025-07-29 07:37:53)
Date of ISCC Certified</t>
      </text>
    </comment>
    <comment authorId="0" ref="L5">
      <text>
        <t xml:space="preserve">======
ID#AAABos3b8D8
Nur Hidayah Misnan    (2025-07-29 07:37:53)
Data from Biomethane Operational Report</t>
      </text>
    </comment>
    <comment authorId="0" ref="AD5">
      <text>
        <t xml:space="preserve">======
ID#AAABos3b8EA
Nur Hidayah Misnan    (2025-07-29 07:37:53)
sm3 = nm3*1.055</t>
      </text>
    </comment>
  </commentList>
  <extLst>
    <ext uri="GoogleSheetsCustomDataVersion2">
      <go:sheetsCustomData xmlns:go="http://customooxmlschemas.google.com/" r:id="rId1" roundtripDataSignature="AMtx7mif/xQt9HVUfFoi7SQhzqAlLqwWc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ID#AAABos9iTp0
Nur Hidayah Misnan    (2025-07-29 07:37:53)
Incoming POME x COD removal x 0.35 (conversion rate to biomethane) / 1000 / 0.55 (biomethane ratio)</t>
      </text>
    </comment>
    <comment authorId="0" ref="O5">
      <text>
        <t xml:space="preserve">======
ID#AAABos9iTpk
Nur Hidayah Misnan    (2025-07-29 07:37:53)
Daily gas engine (kwh)/engine efficiency/biogas energy content =xx/0.55/0.5</t>
      </text>
    </comment>
    <comment authorId="0" ref="AA5">
      <text>
        <t xml:space="preserve">======
ID#AAABos9iTpM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iI10IA7/k/B//v3zLsmy+COM6FU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ID#AAABos9iTo4
Nur Hidayah Misnan    (2025-07-29 07:37:53)
Incoming POME x COD removal x 0.35 (conversion rate to biomethane) / 1000 / 0.55 (biomethane ratio)</t>
      </text>
    </comment>
    <comment authorId="0" ref="O5">
      <text>
        <t xml:space="preserve">======
ID#AAABos9iToY
Nur Hidayah Misnan    (2025-07-29 07:37:53)
Daily gas engine (kwh)/engine efficiency/biogas energy content =xx/0.55/0.5</t>
      </text>
    </comment>
    <comment authorId="0" ref="AA5">
      <text>
        <t xml:space="preserve">======
ID#AAABos9iToA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jgf5G6MuVCijOghw/GS6ZreEnis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O5">
      <text>
        <t xml:space="preserve">======
ID#AAABos9iTqU
Nur Hidayah Misnan    (2025-07-29 07:37:53)
Daily gas engine (kwh)/engine efficiency/biogas energy content =xx/0.55/0.5</t>
      </text>
    </comment>
    <comment authorId="0" ref="I5">
      <text>
        <t xml:space="preserve">======
ID#AAABos9iTqI
Nur Hidayah Misnan    (2025-07-29 07:37:53)
Incoming POME x COD removal x 0.35 (conversion rate to biomethane) / 1000 / 0.55 (biomethane ratio)</t>
      </text>
    </comment>
    <comment authorId="0" ref="AA5">
      <text>
        <t xml:space="preserve">======
ID#AAABos9iTo0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gmQQy9/9+X5wIIC8Kb9XdtwaAik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AD5">
      <text>
        <t xml:space="preserve">======
ID#AAABos9iTp4
Nur Hidayah Misnan    (2025-07-29 07:37:53)
(1-0.5)Nm3 = Sm3
taken from gas delivery report</t>
      </text>
    </comment>
    <comment authorId="0" ref="O5">
      <text>
        <t xml:space="preserve">======
ID#AAABos9iTo8
Nur Hidayah Misnan    (2025-07-29 07:37:53)
Daily gas engine (kwh)/engine efficiency/biogas energy content =xx/0.55/0.5</t>
      </text>
    </comment>
    <comment authorId="0" ref="I5">
      <text>
        <t xml:space="preserve">======
ID#AAABos9iToQ
Nur Hidayah Misnan    (2025-07-29 07:37:53)
Incoming POME x COD removal x 0.35 (conversion rate to biomethane) / 1000 / 0.55 (biomethane ratio)</t>
      </text>
    </comment>
    <comment authorId="0" ref="AA5">
      <text>
        <t xml:space="preserve">======
ID#AAABos9iToI
Nur Hidayah Misnan    (2025-07-29 07:37:53)
(1-0.5)Nm3 = Sm3
taken from gas delivery report</t>
      </text>
    </comment>
  </commentList>
  <extLst>
    <ext uri="GoogleSheetsCustomDataVersion2">
      <go:sheetsCustomData xmlns:go="http://customooxmlschemas.google.com/" r:id="rId1" roundtripDataSignature="AMtx7mjvQ44QkdKwjlEs3e7/yZeHpYqKO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ID#AAABos9iTqc
Nur Hidayah Misnan    (2025-07-29 07:37:53)
Incoming POME x COD removal x 0.35 (conversion rate to biomethane) / 1000 / 0.55 (biomethane ratio)</t>
      </text>
    </comment>
    <comment authorId="0" ref="AA5">
      <text>
        <t xml:space="preserve">======
ID#AAABos9iTpU
Nur Hidayah Misnan    (2025-07-29 07:37:53)
(1-0.5)Nm3 = Sm3</t>
      </text>
    </comment>
    <comment authorId="0" ref="O5">
      <text>
        <t xml:space="preserve">======
ID#AAABos3b8EE
Nur Hidayah Misnan    (2025-07-29 07:37:53)
Daily gas engine (kwh)/10.28)/0.55/0.5</t>
      </text>
    </comment>
  </commentList>
  <extLst>
    <ext uri="GoogleSheetsCustomDataVersion2">
      <go:sheetsCustomData xmlns:go="http://customooxmlschemas.google.com/" r:id="rId1" roundtripDataSignature="AMtx7mh+SwnQXReKanuKyrrAUEAOkHONBQ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ID#AAABos9iTpE
Nur Hidayah Misnan    (2025-07-29 07:37:53)
Incoming POME x COD removal x 0.35 (conversion rate to biomethane) / 1000 / 0.55 (biomethane ratio)</t>
      </text>
    </comment>
    <comment authorId="0" ref="AA5">
      <text>
        <t xml:space="preserve">======
ID#AAABos9iTok
Nur Hidayah Misnan    (2025-07-29 07:37:53)
(1-0.5)Nm3 = Sm3</t>
      </text>
    </comment>
    <comment authorId="0" ref="O5">
      <text>
        <t xml:space="preserve">======
ID#AAABos9iTog
Nur Hidayah Misnan    (2025-07-29 07:37:53)
Daily gas engine (kwh)/10.28)/0.55/0.5</t>
      </text>
    </comment>
  </commentList>
  <extLst>
    <ext uri="GoogleSheetsCustomDataVersion2">
      <go:sheetsCustomData xmlns:go="http://customooxmlschemas.google.com/" r:id="rId1" roundtripDataSignature="AMtx7mgbmXJuoAMAgiXRvwxCxtQBOmf6d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ID#AAABos9iTqE
Nur Hidayah Misnan    (2025-07-29 07:37:53)
Incoming POME x COD removal x 0.35 (conversion rate to biomethane) / 1000 / 0.55 (biomethane ratio)</t>
      </text>
    </comment>
    <comment authorId="0" ref="O5">
      <text>
        <t xml:space="preserve">======
ID#AAABos9iTpw
Nur Hidayah Misnan    (2025-07-29 07:37:53)
Daily gas engine (kwh)/10.28)/0.55/0.5</t>
      </text>
    </comment>
    <comment authorId="0" ref="AA5">
      <text>
        <t xml:space="preserve">======
ID#AAABos9iTpg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gQzNqIlTMoawUBoE128y/pqSr9j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ID#AAABos9iTpQ
Nur Hidayah Misnan    (2025-07-29 07:37:53)
Incoming POME x COD removal x 0.35 (conversion rate to biomethane) / 1000 / 0.55 (biomethane ratio)</t>
      </text>
    </comment>
    <comment authorId="0" ref="AA5">
      <text>
        <t xml:space="preserve">======
ID#AAABos9iToU
Nur Hidayah Misnan    (2025-07-29 07:37:53)
(1-0.5)Nm3 = Sm3</t>
      </text>
    </comment>
    <comment authorId="0" ref="O5">
      <text>
        <t xml:space="preserve">======
ID#AAABos9iTn8
Nur Hidayah Misnan    (2025-07-29 07:37:53)
Daily gas engine (kwh)/10.28)/0.55/0.5
1m3 = 2kwh</t>
      </text>
    </comment>
  </commentList>
  <extLst>
    <ext uri="GoogleSheetsCustomDataVersion2">
      <go:sheetsCustomData xmlns:go="http://customooxmlschemas.google.com/" r:id="rId1" roundtripDataSignature="AMtx7mjWvy8nt/OF8S6+v07rDkgl2fqzm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I5">
      <text>
        <t xml:space="preserve">======
ID#AAABos9iTqQ
Nur Hidayah Misnan    (2025-07-29 07:37:53)
Incoming POME x COD removal x 0.35 (conversion rate to biomethane) / 1000 / 0.55 (biomethane ratio)</t>
      </text>
    </comment>
    <comment authorId="0" ref="O5">
      <text>
        <t xml:space="preserve">======
ID#AAABos9iToM
Nur Hidayah Misnan    (2025-07-29 07:37:53)
Daily gas engine (kwh)/10.28)/0.55/0.5</t>
      </text>
    </comment>
    <comment authorId="0" ref="X5">
      <text>
        <t xml:space="preserve">======
ID#AAABos9iToE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iputbYhyOoPZXF1032+ikbtPO6BQ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X5">
      <text>
        <t xml:space="preserve">======
ID#AAABos9iTp8
Nur Hidayah Misnan    (2025-07-29 07:37:53)
(1-0.055)Nm3 = Sm3</t>
      </text>
    </comment>
    <comment authorId="0" ref="O5">
      <text>
        <t xml:space="preserve">======
ID#AAABos9iTpI
Nur Hidayah Misnan    (2025-07-29 07:37:53)
Daily gas engine (kwh)/10.28)/0.55/0.5</t>
      </text>
    </comment>
    <comment authorId="0" ref="I5">
      <text>
        <t xml:space="preserve">======
ID#AAABos9iTos
Nur Hidayah Misnan    (2025-07-29 07:37:53)
Incoming POME x COD removal x 0.35 (conversion rate to biomethane) / 1000 / 0.55 (biomethane ratio)</t>
      </text>
    </comment>
  </commentList>
  <extLst>
    <ext uri="GoogleSheetsCustomDataVersion2">
      <go:sheetsCustomData xmlns:go="http://customooxmlschemas.google.com/" r:id="rId1" roundtripDataSignature="AMtx7mj5kfFxnnjal1KlAsNno+1c/UwMnQ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This is based on the theoretical calculation
======</t>
      </text>
    </comment>
    <comment authorId="0" ref="O5">
      <text>
        <t xml:space="preserve">======
ID#AAABos9iTpo
Nur Hidayah Misnan    (2025-07-29 07:37:53)
Daily gas engine (kwh)/10.28)/0.55/0.5</t>
      </text>
    </comment>
    <comment authorId="0" ref="I5">
      <text>
        <t xml:space="preserve">======
ID#AAABos9iTpY
Nur Hidayah Misnan    (2025-07-29 07:37:53)
Incoming POME x COD removal x 0.35 (conversion rate to biomethane) / 1000 / 0.55 (biomethane ratio)</t>
      </text>
    </comment>
    <comment authorId="0" ref="X5">
      <text>
        <t xml:space="preserve">======
ID#AAABos9iTow
Nur Hidayah Misnan    (2025-07-29 07:37:53)
(1-0.5)Nm3 = Sm3</t>
      </text>
    </comment>
  </commentList>
  <extLst>
    <ext uri="GoogleSheetsCustomDataVersion2">
      <go:sheetsCustomData xmlns:go="http://customooxmlschemas.google.com/" r:id="rId1" roundtripDataSignature="AMtx7miDqFRddyVC6BxY0DcteSPTE+F9ug=="/>
    </ext>
  </extLst>
</comments>
</file>

<file path=xl/sharedStrings.xml><?xml version="1.0" encoding="utf-8"?>
<sst xmlns="http://schemas.openxmlformats.org/spreadsheetml/2006/main" count="740" uniqueCount="60">
  <si>
    <t>Kian Hoe Plantations Berhad (KHPB)</t>
  </si>
  <si>
    <t xml:space="preserve">MASS BALANCE (MB) WORKSHEET </t>
  </si>
  <si>
    <t>Year: 24/25</t>
  </si>
  <si>
    <t>Month</t>
  </si>
  <si>
    <t>Incoming POME to Digester (m3)</t>
  </si>
  <si>
    <t>Biogas Generated (m3)</t>
  </si>
  <si>
    <t>Biogas Supplied to Scrubber (m3)</t>
  </si>
  <si>
    <t>Biogas Supplied to Gas Engine (m3)</t>
  </si>
  <si>
    <t xml:space="preserve"> Biogas Supplied to Biomethane Plant (m3)</t>
  </si>
  <si>
    <t>Volume CH4 in Raw Biogas (m3)</t>
  </si>
  <si>
    <t>Biomethane Generated (m3)</t>
  </si>
  <si>
    <t>Biomethane Supplied to Grid (m3)</t>
  </si>
  <si>
    <t>Biomethane Supplied to Grid (MMBtu)</t>
  </si>
  <si>
    <t>ISCC</t>
  </si>
  <si>
    <t>Non-Certified</t>
  </si>
  <si>
    <t>TOTAL</t>
  </si>
  <si>
    <t>January</t>
  </si>
  <si>
    <t xml:space="preserve">February </t>
  </si>
  <si>
    <t>March</t>
  </si>
  <si>
    <t>Total 1st Quarter</t>
  </si>
  <si>
    <t>April</t>
  </si>
  <si>
    <t>May</t>
  </si>
  <si>
    <t>June</t>
  </si>
  <si>
    <t>Total 2nd Quarter</t>
  </si>
  <si>
    <t>July</t>
  </si>
  <si>
    <t>August</t>
  </si>
  <si>
    <t>September</t>
  </si>
  <si>
    <t>Total 3rd Quarter</t>
  </si>
  <si>
    <t>October</t>
  </si>
  <si>
    <t xml:space="preserve">November </t>
  </si>
  <si>
    <t xml:space="preserve">December </t>
  </si>
  <si>
    <t>Total 4th Quarter</t>
  </si>
  <si>
    <t>Total 2024</t>
  </si>
  <si>
    <t>Total 2025</t>
  </si>
  <si>
    <t xml:space="preserve">OVERALL TOTAL </t>
  </si>
  <si>
    <t>OVERALL TOTAL (MT)</t>
  </si>
  <si>
    <t>MT</t>
  </si>
  <si>
    <t>\</t>
  </si>
  <si>
    <t>c</t>
  </si>
  <si>
    <t>GJ to MMBtu</t>
  </si>
  <si>
    <t>Conversion Factor</t>
  </si>
  <si>
    <t>Year: 2024</t>
  </si>
  <si>
    <t xml:space="preserve">DATE </t>
  </si>
  <si>
    <t>Opening Stock of Biogas (m3)</t>
  </si>
  <si>
    <t>Biogas Supplied to Biomethane Plant (m3)</t>
  </si>
  <si>
    <t>Biomethane generated (m3)</t>
  </si>
  <si>
    <t>Biomethane Supplied to Grid (Sm3)</t>
  </si>
  <si>
    <t>Biomethane Supplied to Grid (GJ)</t>
  </si>
  <si>
    <t>NON-ISCC</t>
  </si>
  <si>
    <t>Total</t>
  </si>
  <si>
    <t>Year: 2025</t>
  </si>
  <si>
    <t>Biogas Supplied to Scruber (m3)</t>
  </si>
  <si>
    <t>In line with the quality of pipeline natural gas, the product-gas composition is 96%–98% CH4 (97% used), &lt; 1% CO2 (1% used), &lt; 4 ppm H2S, &lt; 30 ppb siloxane. All percentages are by volume. The expected average flow was 2000 Nm3 /h (~875 scfm) assuming that peak flow could be moderated to not exceed that average. The system has an annual operating capacity factor of 90%, resulting in an annual operation of 7,884 h.</t>
  </si>
  <si>
    <t>H2A Biomethane Model Documentation and a Case Study for Biogas From Dairy Farms</t>
  </si>
  <si>
    <t>https://www.sciencedirect.com/science/article/pii/S0960148125013552#fd5</t>
  </si>
  <si>
    <t>https://www.mdpi.com/2227-9717/11/6/1603?utm_source=chatgpt.com</t>
  </si>
  <si>
    <t>Process Optimization of Biogas Production from Palm Oil Mill Effluent: A Case Study of a Crude Palm Oil Factory in Muaro Jambi, Indonesia | Journal of Advanced Research in Fluid Mechanics and Thermal Sciences</t>
  </si>
  <si>
    <t>https://airpack.nl/tools/capacity/sm3-hr-nm3-hr-conversion/</t>
  </si>
  <si>
    <t>https://www.sciencedirect.com/science/article/pii/S0960148125013552#:~:text=Overall%2C%20in%20various%20gas%20separation,Recently%2C%20Zito%20et%20al.</t>
  </si>
  <si>
    <t>https://sci-hub.se/https://doi.org/10.1016/j.rser.2020.110588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</si>
</sst>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\-yy"/>
    <numFmt numFmtId="165" formatCode="_(* #,##0.000_);_(* \(#,##0.000\);_(* &quot;-&quot;??_);_(@_)"/>
    <numFmt numFmtId="166" formatCode="_(* #,##0_);_(* \(#,##0\);_(* &quot;-&quot;??_);_(@_)"/>
    <numFmt numFmtId="167" formatCode="_(* #,##0.00_);_(* \(#,##0.00\);_(* &quot;-&quot;??.0_);_(@_)"/>
    <numFmt numFmtId="168" formatCode="d&quot;-&quot;mmm&quot;-&quot;yyyy"/>
    <numFmt numFmtId="169" formatCode="_-* #,##0.00_-;\-* #,##0.00_-;_-* &quot;-&quot;??_-;_-@"/>
    <numFmt numFmtId="170" formatCode="_(* #,##0.00_);_(* \(#,##0.00\);_(* &quot;-&quot;??_);_(@_)"/>
  </numFmts>
  <fonts count="17">
    <font>
      <sz val="11.0"/>
      <color theme="1"/>
      <name val="Arial"/>
      <scheme val="minor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/>
    <font>
      <sz val="12.0"/>
      <color rgb="FFFFFFFF"/>
      <name val="Calibri"/>
    </font>
    <font>
      <sz val="12.0"/>
      <color theme="0"/>
      <name val="Calibri"/>
    </font>
    <font>
      <sz val="12.0"/>
      <color rgb="FF000000"/>
      <name val="Calibri"/>
    </font>
    <font>
      <sz val="11.0"/>
      <color theme="1"/>
      <name val="Arial"/>
    </font>
    <font>
      <i/>
      <sz val="11.0"/>
      <color rgb="FF7F7F7F"/>
      <name val="Arial"/>
    </font>
    <font>
      <b/>
      <sz val="11.0"/>
      <color theme="1"/>
      <name val="Arial"/>
    </font>
    <font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u/>
      <sz val="11.0"/>
      <color theme="1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7ABC32"/>
        <bgColor rgb="FF7ABC32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2" fillId="3" fontId="3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3" fillId="3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2" numFmtId="165" xfId="0" applyAlignment="1" applyBorder="1" applyFont="1" applyNumberFormat="1">
      <alignment horizontal="center" shrinkToFit="0" vertical="center" wrapText="1"/>
    </xf>
    <xf borderId="3" fillId="3" fontId="2" numFmtId="165" xfId="0" applyAlignment="1" applyBorder="1" applyFont="1" applyNumberForma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4" fontId="5" numFmtId="165" xfId="0" applyAlignment="1" applyBorder="1" applyFill="1" applyFont="1" applyNumberFormat="1">
      <alignment horizontal="center" shrinkToFit="0" vertical="center" wrapText="1"/>
    </xf>
    <xf borderId="13" fillId="5" fontId="5" numFmtId="165" xfId="0" applyAlignment="1" applyBorder="1" applyFill="1" applyFont="1" applyNumberFormat="1">
      <alignment horizontal="center" shrinkToFit="0" vertical="center" wrapText="1"/>
    </xf>
    <xf borderId="13" fillId="3" fontId="3" numFmtId="165" xfId="0" applyAlignment="1" applyBorder="1" applyFont="1" applyNumberFormat="1">
      <alignment horizontal="center" shrinkToFit="0" vertical="center" wrapText="1"/>
    </xf>
    <xf borderId="13" fillId="5" fontId="6" numFmtId="165" xfId="0" applyAlignment="1" applyBorder="1" applyFont="1" applyNumberFormat="1">
      <alignment horizontal="center" shrinkToFit="0" vertical="center" wrapText="1"/>
    </xf>
    <xf borderId="14" fillId="6" fontId="7" numFmtId="0" xfId="0" applyAlignment="1" applyBorder="1" applyFill="1" applyFont="1">
      <alignment horizontal="left" vertical="center"/>
    </xf>
    <xf borderId="15" fillId="6" fontId="7" numFmtId="166" xfId="0" applyAlignment="1" applyBorder="1" applyFont="1" applyNumberFormat="1">
      <alignment vertical="center"/>
    </xf>
    <xf borderId="15" fillId="0" fontId="7" numFmtId="166" xfId="0" applyAlignment="1" applyBorder="1" applyFont="1" applyNumberFormat="1">
      <alignment vertical="center"/>
    </xf>
    <xf borderId="16" fillId="0" fontId="7" numFmtId="166" xfId="0" applyAlignment="1" applyBorder="1" applyFont="1" applyNumberFormat="1">
      <alignment vertical="center"/>
    </xf>
    <xf borderId="14" fillId="6" fontId="2" numFmtId="0" xfId="0" applyAlignment="1" applyBorder="1" applyFont="1">
      <alignment horizontal="left" vertical="center"/>
    </xf>
    <xf borderId="15" fillId="6" fontId="3" numFmtId="166" xfId="0" applyAlignment="1" applyBorder="1" applyFont="1" applyNumberFormat="1">
      <alignment vertical="center"/>
    </xf>
    <xf borderId="15" fillId="0" fontId="3" numFmtId="166" xfId="0" applyAlignment="1" applyBorder="1" applyFont="1" applyNumberFormat="1">
      <alignment vertical="center"/>
    </xf>
    <xf borderId="15" fillId="7" fontId="3" numFmtId="166" xfId="0" applyAlignment="1" applyBorder="1" applyFill="1" applyFont="1" applyNumberFormat="1">
      <alignment vertical="center"/>
    </xf>
    <xf borderId="15" fillId="8" fontId="3" numFmtId="166" xfId="0" applyAlignment="1" applyBorder="1" applyFill="1" applyFont="1" applyNumberFormat="1">
      <alignment vertical="center"/>
    </xf>
    <xf borderId="16" fillId="0" fontId="3" numFmtId="166" xfId="0" applyAlignment="1" applyBorder="1" applyFont="1" applyNumberFormat="1">
      <alignment vertical="center"/>
    </xf>
    <xf borderId="15" fillId="8" fontId="7" numFmtId="166" xfId="0" applyAlignment="1" applyBorder="1" applyFont="1" applyNumberFormat="1">
      <alignment vertical="center"/>
    </xf>
    <xf borderId="15" fillId="7" fontId="7" numFmtId="166" xfId="0" applyAlignment="1" applyBorder="1" applyFont="1" applyNumberFormat="1">
      <alignment vertical="center"/>
    </xf>
    <xf borderId="0" fillId="0" fontId="8" numFmtId="2" xfId="0" applyFont="1" applyNumberFormat="1"/>
    <xf borderId="14" fillId="9" fontId="9" numFmtId="0" xfId="0" applyAlignment="1" applyBorder="1" applyFill="1" applyFont="1">
      <alignment horizontal="left" vertical="center"/>
    </xf>
    <xf borderId="15" fillId="9" fontId="9" numFmtId="166" xfId="0" applyAlignment="1" applyBorder="1" applyFont="1" applyNumberFormat="1">
      <alignment vertical="center"/>
    </xf>
    <xf borderId="17" fillId="9" fontId="9" numFmtId="166" xfId="0" applyAlignment="1" applyBorder="1" applyFont="1" applyNumberFormat="1">
      <alignment vertical="center"/>
    </xf>
    <xf borderId="18" fillId="6" fontId="2" numFmtId="0" xfId="0" applyAlignment="1" applyBorder="1" applyFont="1">
      <alignment horizontal="left" vertical="center"/>
    </xf>
    <xf borderId="19" fillId="6" fontId="3" numFmtId="166" xfId="0" applyAlignment="1" applyBorder="1" applyFont="1" applyNumberFormat="1">
      <alignment vertical="center"/>
    </xf>
    <xf borderId="15" fillId="10" fontId="2" numFmtId="165" xfId="0" applyAlignment="1" applyBorder="1" applyFill="1" applyFont="1" applyNumberFormat="1">
      <alignment horizontal="left" vertical="center"/>
    </xf>
    <xf borderId="15" fillId="10" fontId="2" numFmtId="166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horizontal="left" vertical="center"/>
    </xf>
    <xf borderId="0" fillId="0" fontId="10" numFmtId="166" xfId="0" applyFont="1" applyNumberFormat="1"/>
    <xf borderId="0" fillId="0" fontId="8" numFmtId="166" xfId="0" applyFont="1" applyNumberFormat="1"/>
    <xf borderId="0" fillId="0" fontId="3" numFmtId="165" xfId="0" applyAlignment="1" applyFont="1" applyNumberFormat="1">
      <alignment horizontal="right" vertical="center"/>
    </xf>
    <xf borderId="0" fillId="0" fontId="10" numFmtId="166" xfId="0" applyAlignment="1" applyFont="1" applyNumberFormat="1">
      <alignment horizontal="left"/>
    </xf>
    <xf borderId="0" fillId="0" fontId="3" numFmtId="166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10" numFmtId="0" xfId="0" applyAlignment="1" applyFont="1">
      <alignment horizontal="left"/>
    </xf>
    <xf borderId="0" fillId="0" fontId="7" numFmtId="165" xfId="0" applyAlignment="1" applyFont="1" applyNumberFormat="1">
      <alignment horizontal="left" vertic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8" numFmtId="0" xfId="0" applyFont="1"/>
    <xf borderId="0" fillId="0" fontId="8" numFmtId="167" xfId="0" applyFont="1" applyNumberFormat="1"/>
    <xf borderId="0" fillId="0" fontId="1" numFmtId="167" xfId="0" applyFont="1" applyNumberFormat="1"/>
    <xf borderId="0" fillId="0" fontId="10" numFmtId="0" xfId="0" applyFont="1"/>
    <xf borderId="0" fillId="0" fontId="2" numFmtId="167" xfId="0" applyAlignment="1" applyFont="1" applyNumberFormat="1">
      <alignment horizontal="right" vertical="center"/>
    </xf>
    <xf borderId="3" fillId="3" fontId="3" numFmtId="167" xfId="0" applyAlignment="1" applyBorder="1" applyFont="1" applyNumberFormat="1">
      <alignment horizontal="center" shrinkToFit="0" vertical="center" wrapText="1"/>
    </xf>
    <xf borderId="3" fillId="2" fontId="3" numFmtId="167" xfId="0" applyAlignment="1" applyBorder="1" applyFont="1" applyNumberFormat="1">
      <alignment horizontal="center" shrinkToFit="0" vertical="center" wrapText="1"/>
    </xf>
    <xf borderId="7" fillId="0" fontId="8" numFmtId="0" xfId="0" applyAlignment="1" applyBorder="1" applyFont="1">
      <alignment horizontal="center"/>
    </xf>
    <xf borderId="13" fillId="4" fontId="5" numFmtId="167" xfId="0" applyAlignment="1" applyBorder="1" applyFont="1" applyNumberFormat="1">
      <alignment horizontal="center" shrinkToFit="0" vertical="center" wrapText="1"/>
    </xf>
    <xf borderId="13" fillId="5" fontId="5" numFmtId="167" xfId="0" applyAlignment="1" applyBorder="1" applyFont="1" applyNumberFormat="1">
      <alignment horizontal="center" shrinkToFit="0" vertical="center" wrapText="1"/>
    </xf>
    <xf borderId="13" fillId="3" fontId="3" numFmtId="167" xfId="0" applyAlignment="1" applyBorder="1" applyFont="1" applyNumberFormat="1">
      <alignment horizontal="center" shrinkToFit="0" vertical="center" wrapText="1"/>
    </xf>
    <xf borderId="9" fillId="0" fontId="14" numFmtId="168" xfId="0" applyAlignment="1" applyBorder="1" applyFont="1" applyNumberFormat="1">
      <alignment horizontal="center" vertical="center"/>
    </xf>
    <xf borderId="15" fillId="4" fontId="5" numFmtId="167" xfId="0" applyAlignment="1" applyBorder="1" applyFont="1" applyNumberFormat="1">
      <alignment horizontal="center" shrinkToFit="0" vertical="center" wrapText="1"/>
    </xf>
    <xf borderId="15" fillId="4" fontId="6" numFmtId="167" xfId="0" applyAlignment="1" applyBorder="1" applyFont="1" applyNumberFormat="1">
      <alignment horizontal="center" shrinkToFit="0" vertical="center" wrapText="1"/>
    </xf>
    <xf borderId="14" fillId="6" fontId="14" numFmtId="168" xfId="0" applyAlignment="1" applyBorder="1" applyFont="1" applyNumberFormat="1">
      <alignment horizontal="center" vertical="center"/>
    </xf>
    <xf borderId="14" fillId="6" fontId="7" numFmtId="167" xfId="0" applyAlignment="1" applyBorder="1" applyFont="1" applyNumberFormat="1">
      <alignment vertical="center"/>
    </xf>
    <xf borderId="15" fillId="6" fontId="7" numFmtId="167" xfId="0" applyAlignment="1" applyBorder="1" applyFont="1" applyNumberFormat="1">
      <alignment vertical="center"/>
    </xf>
    <xf borderId="15" fillId="0" fontId="7" numFmtId="167" xfId="0" applyAlignment="1" applyBorder="1" applyFont="1" applyNumberFormat="1">
      <alignment vertical="center"/>
    </xf>
    <xf borderId="15" fillId="6" fontId="15" numFmtId="167" xfId="0" applyAlignment="1" applyBorder="1" applyFont="1" applyNumberFormat="1">
      <alignment horizontal="center" shrinkToFit="0" vertical="center" wrapText="1"/>
    </xf>
    <xf borderId="14" fillId="2" fontId="14" numFmtId="168" xfId="0" applyAlignment="1" applyBorder="1" applyFont="1" applyNumberFormat="1">
      <alignment horizontal="center" vertical="center"/>
    </xf>
    <xf borderId="0" fillId="0" fontId="8" numFmtId="169" xfId="0" applyAlignment="1" applyFont="1" applyNumberFormat="1">
      <alignment horizontal="left"/>
    </xf>
    <xf borderId="15" fillId="0" fontId="3" numFmtId="165" xfId="0" applyAlignment="1" applyBorder="1" applyFont="1" applyNumberFormat="1">
      <alignment horizontal="left" vertical="center"/>
    </xf>
    <xf borderId="15" fillId="0" fontId="3" numFmtId="167" xfId="0" applyAlignment="1" applyBorder="1" applyFont="1" applyNumberFormat="1">
      <alignment horizontal="right" vertical="center"/>
    </xf>
    <xf borderId="15" fillId="0" fontId="3" numFmtId="166" xfId="0" applyAlignment="1" applyBorder="1" applyFont="1" applyNumberFormat="1">
      <alignment horizontal="right" vertical="center"/>
    </xf>
    <xf borderId="0" fillId="0" fontId="8" numFmtId="169" xfId="0" applyFont="1" applyNumberFormat="1"/>
    <xf borderId="0" fillId="0" fontId="11" numFmtId="167" xfId="0" applyFont="1" applyNumberFormat="1"/>
    <xf borderId="0" fillId="0" fontId="12" numFmtId="167" xfId="0" applyFont="1" applyNumberFormat="1"/>
    <xf borderId="0" fillId="0" fontId="13" numFmtId="167" xfId="0" applyFont="1" applyNumberFormat="1"/>
    <xf borderId="0" fillId="0" fontId="8" numFmtId="9" xfId="0" applyFont="1" applyNumberFormat="1"/>
    <xf borderId="15" fillId="4" fontId="5" numFmtId="170" xfId="0" applyAlignment="1" applyBorder="1" applyFont="1" applyNumberFormat="1">
      <alignment horizontal="center" shrinkToFit="0" vertical="center" wrapText="1"/>
    </xf>
    <xf borderId="15" fillId="4" fontId="6" numFmtId="170" xfId="0" applyAlignment="1" applyBorder="1" applyFont="1" applyNumberFormat="1">
      <alignment horizontal="center" shrinkToFit="0" vertical="center" wrapText="1"/>
    </xf>
    <xf borderId="15" fillId="6" fontId="7" numFmtId="170" xfId="0" applyAlignment="1" applyBorder="1" applyFont="1" applyNumberFormat="1">
      <alignment vertical="center"/>
    </xf>
    <xf borderId="15" fillId="6" fontId="15" numFmtId="170" xfId="0" applyAlignment="1" applyBorder="1" applyFont="1" applyNumberFormat="1">
      <alignment horizontal="center" shrinkToFit="0" vertical="center" wrapText="1"/>
    </xf>
    <xf borderId="15" fillId="0" fontId="3" numFmtId="17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12</xdr:row>
      <xdr:rowOff>142875</xdr:rowOff>
    </xdr:from>
    <xdr:ext cx="4352925" cy="2543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nrel.gov/docs/fy11osti/49009.pdf?utm_source=chatgpt.com" TargetMode="External"/><Relationship Id="rId2" Type="http://schemas.openxmlformats.org/officeDocument/2006/relationships/hyperlink" Target="https://www.sciencedirect.com/science/article/pii/S0960148125013552" TargetMode="External"/><Relationship Id="rId3" Type="http://schemas.openxmlformats.org/officeDocument/2006/relationships/hyperlink" Target="https://www.mdpi.com/2227-9717/11/6/1603?utm_source=chatgpt.com" TargetMode="External"/><Relationship Id="rId4" Type="http://schemas.openxmlformats.org/officeDocument/2006/relationships/hyperlink" Target="https://semarakilmu.com.my/journals/index.php/fluid_mechanics_thermal_sciences/article/view/2839?utm_source=chatgpt.com" TargetMode="External"/><Relationship Id="rId5" Type="http://schemas.openxmlformats.org/officeDocument/2006/relationships/hyperlink" Target="https://airpack.nl/tools/capacity/sm3-hr-nm3-hr-conversion/" TargetMode="External"/><Relationship Id="rId6" Type="http://schemas.openxmlformats.org/officeDocument/2006/relationships/hyperlink" Target="https://www.sciencedirect.com/science/article/pii/S0960148125013552" TargetMode="External"/><Relationship Id="rId7" Type="http://schemas.openxmlformats.org/officeDocument/2006/relationships/hyperlink" Target="https://sci-hub.se/https:/doi.org/10.1016/j.rser.2020.110588" TargetMode="External"/><Relationship Id="rId8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7.63"/>
    <col customWidth="1" min="2" max="2" width="21.63"/>
    <col customWidth="1" min="3" max="29" width="17.63"/>
  </cols>
  <sheetData>
    <row r="1" ht="14.25" customHeight="1"/>
    <row r="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B4" s="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0" customHeight="1">
      <c r="B5" s="4" t="s">
        <v>3</v>
      </c>
      <c r="C5" s="5" t="s">
        <v>4</v>
      </c>
      <c r="D5" s="6"/>
      <c r="E5" s="7"/>
      <c r="F5" s="8" t="s">
        <v>5</v>
      </c>
      <c r="G5" s="6"/>
      <c r="H5" s="7"/>
      <c r="I5" s="9" t="s">
        <v>6</v>
      </c>
      <c r="J5" s="6"/>
      <c r="K5" s="7"/>
      <c r="L5" s="10" t="s">
        <v>7</v>
      </c>
      <c r="M5" s="6"/>
      <c r="N5" s="7"/>
      <c r="O5" s="10" t="s">
        <v>8</v>
      </c>
      <c r="P5" s="6"/>
      <c r="Q5" s="7"/>
      <c r="R5" s="11" t="s">
        <v>9</v>
      </c>
      <c r="S5" s="6"/>
      <c r="T5" s="7"/>
      <c r="U5" s="11" t="s">
        <v>10</v>
      </c>
      <c r="V5" s="6"/>
      <c r="W5" s="7"/>
      <c r="X5" s="11" t="s">
        <v>11</v>
      </c>
      <c r="Y5" s="6"/>
      <c r="Z5" s="7"/>
      <c r="AA5" s="10" t="s">
        <v>12</v>
      </c>
      <c r="AB5" s="6"/>
      <c r="AC5" s="7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</row>
    <row r="10" ht="14.25" customHeight="1">
      <c r="B10" s="18"/>
      <c r="C10" s="19" t="s">
        <v>13</v>
      </c>
      <c r="D10" s="20" t="s">
        <v>14</v>
      </c>
      <c r="E10" s="21" t="s">
        <v>15</v>
      </c>
      <c r="F10" s="19" t="s">
        <v>13</v>
      </c>
      <c r="G10" s="22" t="s">
        <v>14</v>
      </c>
      <c r="H10" s="21" t="s">
        <v>15</v>
      </c>
      <c r="I10" s="19" t="s">
        <v>13</v>
      </c>
      <c r="J10" s="22" t="s">
        <v>14</v>
      </c>
      <c r="K10" s="21" t="s">
        <v>15</v>
      </c>
      <c r="L10" s="19" t="s">
        <v>13</v>
      </c>
      <c r="M10" s="22" t="s">
        <v>14</v>
      </c>
      <c r="N10" s="21" t="s">
        <v>15</v>
      </c>
      <c r="O10" s="19" t="s">
        <v>13</v>
      </c>
      <c r="P10" s="20" t="s">
        <v>14</v>
      </c>
      <c r="Q10" s="21" t="s">
        <v>15</v>
      </c>
      <c r="R10" s="19" t="s">
        <v>13</v>
      </c>
      <c r="S10" s="20" t="s">
        <v>14</v>
      </c>
      <c r="T10" s="21" t="s">
        <v>15</v>
      </c>
      <c r="U10" s="19" t="s">
        <v>13</v>
      </c>
      <c r="V10" s="20" t="s">
        <v>14</v>
      </c>
      <c r="W10" s="21" t="s">
        <v>15</v>
      </c>
      <c r="X10" s="19" t="s">
        <v>13</v>
      </c>
      <c r="Y10" s="20" t="s">
        <v>14</v>
      </c>
      <c r="Z10" s="21" t="s">
        <v>15</v>
      </c>
      <c r="AA10" s="19" t="s">
        <v>13</v>
      </c>
      <c r="AB10" s="20" t="s">
        <v>14</v>
      </c>
      <c r="AC10" s="21" t="s">
        <v>15</v>
      </c>
    </row>
    <row r="11" ht="15.0" customHeight="1">
      <c r="B11" s="23" t="s">
        <v>16</v>
      </c>
      <c r="C11" s="24">
        <v>0.0</v>
      </c>
      <c r="D11" s="24">
        <v>0.0</v>
      </c>
      <c r="E11" s="25">
        <f t="shared" ref="E11:E26" si="1">SUM(C11:D11)</f>
        <v>0</v>
      </c>
      <c r="F11" s="24">
        <v>0.0</v>
      </c>
      <c r="G11" s="24">
        <v>0.0</v>
      </c>
      <c r="H11" s="25">
        <f t="shared" ref="H11:H26" si="2">SUM(F11:G11)</f>
        <v>0</v>
      </c>
      <c r="I11" s="24">
        <v>0.0</v>
      </c>
      <c r="J11" s="24">
        <v>0.0</v>
      </c>
      <c r="K11" s="25">
        <f t="shared" ref="K11:K26" si="3">SUM(I11:J11)</f>
        <v>0</v>
      </c>
      <c r="L11" s="24">
        <v>0.0</v>
      </c>
      <c r="M11" s="24">
        <v>0.0</v>
      </c>
      <c r="N11" s="25">
        <f t="shared" ref="N11:N26" si="4">SUM(L11:M11)</f>
        <v>0</v>
      </c>
      <c r="O11" s="24">
        <v>0.0</v>
      </c>
      <c r="P11" s="24">
        <v>0.0</v>
      </c>
      <c r="Q11" s="26">
        <f t="shared" ref="Q11:Q26" si="5">SUM(O11:P11)</f>
        <v>0</v>
      </c>
      <c r="R11" s="24">
        <v>0.0</v>
      </c>
      <c r="S11" s="24">
        <v>0.0</v>
      </c>
      <c r="T11" s="25">
        <f t="shared" ref="T11:T26" si="6">R11+S11</f>
        <v>0</v>
      </c>
      <c r="U11" s="24">
        <v>0.0</v>
      </c>
      <c r="V11" s="24">
        <v>0.0</v>
      </c>
      <c r="W11" s="25">
        <f t="shared" ref="W11:W26" si="7">U11+V11</f>
        <v>0</v>
      </c>
      <c r="X11" s="24">
        <v>0.0</v>
      </c>
      <c r="Y11" s="24">
        <v>0.0</v>
      </c>
      <c r="Z11" s="25">
        <f t="shared" ref="Z11:Z26" si="8">X11+Y11</f>
        <v>0</v>
      </c>
      <c r="AA11" s="24">
        <v>0.0</v>
      </c>
      <c r="AB11" s="24">
        <v>0.0</v>
      </c>
      <c r="AC11" s="25">
        <f t="shared" ref="AC11:AC26" si="9">AA11+AB11</f>
        <v>0</v>
      </c>
    </row>
    <row r="12" ht="18.0" customHeight="1">
      <c r="B12" s="23" t="s">
        <v>17</v>
      </c>
      <c r="C12" s="24">
        <v>0.0</v>
      </c>
      <c r="D12" s="24">
        <v>0.0</v>
      </c>
      <c r="E12" s="25">
        <f t="shared" si="1"/>
        <v>0</v>
      </c>
      <c r="F12" s="24">
        <v>0.0</v>
      </c>
      <c r="G12" s="24">
        <v>0.0</v>
      </c>
      <c r="H12" s="25">
        <f t="shared" si="2"/>
        <v>0</v>
      </c>
      <c r="I12" s="24">
        <v>0.0</v>
      </c>
      <c r="J12" s="24">
        <v>0.0</v>
      </c>
      <c r="K12" s="25">
        <f t="shared" si="3"/>
        <v>0</v>
      </c>
      <c r="L12" s="24">
        <v>0.0</v>
      </c>
      <c r="M12" s="24">
        <v>0.0</v>
      </c>
      <c r="N12" s="25">
        <f t="shared" si="4"/>
        <v>0</v>
      </c>
      <c r="O12" s="24">
        <v>0.0</v>
      </c>
      <c r="P12" s="24">
        <v>0.0</v>
      </c>
      <c r="Q12" s="26">
        <f t="shared" si="5"/>
        <v>0</v>
      </c>
      <c r="R12" s="24">
        <v>0.0</v>
      </c>
      <c r="S12" s="24">
        <v>0.0</v>
      </c>
      <c r="T12" s="25">
        <f t="shared" si="6"/>
        <v>0</v>
      </c>
      <c r="U12" s="24">
        <v>0.0</v>
      </c>
      <c r="V12" s="24">
        <v>0.0</v>
      </c>
      <c r="W12" s="25">
        <f t="shared" si="7"/>
        <v>0</v>
      </c>
      <c r="X12" s="24">
        <v>0.0</v>
      </c>
      <c r="Y12" s="24">
        <v>0.0</v>
      </c>
      <c r="Z12" s="25">
        <f t="shared" si="8"/>
        <v>0</v>
      </c>
      <c r="AA12" s="24">
        <v>0.0</v>
      </c>
      <c r="AB12" s="24">
        <v>0.0</v>
      </c>
      <c r="AC12" s="25">
        <f t="shared" si="9"/>
        <v>0</v>
      </c>
    </row>
    <row r="13" ht="14.25" customHeight="1">
      <c r="B13" s="23" t="s">
        <v>18</v>
      </c>
      <c r="C13" s="24">
        <v>0.0</v>
      </c>
      <c r="D13" s="24">
        <v>0.0</v>
      </c>
      <c r="E13" s="25">
        <f t="shared" si="1"/>
        <v>0</v>
      </c>
      <c r="F13" s="24">
        <v>0.0</v>
      </c>
      <c r="G13" s="24">
        <v>0.0</v>
      </c>
      <c r="H13" s="25">
        <f t="shared" si="2"/>
        <v>0</v>
      </c>
      <c r="I13" s="24">
        <v>0.0</v>
      </c>
      <c r="J13" s="24">
        <v>0.0</v>
      </c>
      <c r="K13" s="25">
        <f t="shared" si="3"/>
        <v>0</v>
      </c>
      <c r="L13" s="24">
        <v>0.0</v>
      </c>
      <c r="M13" s="24">
        <v>0.0</v>
      </c>
      <c r="N13" s="25">
        <f t="shared" si="4"/>
        <v>0</v>
      </c>
      <c r="O13" s="24">
        <v>0.0</v>
      </c>
      <c r="P13" s="24">
        <v>0.0</v>
      </c>
      <c r="Q13" s="26">
        <f t="shared" si="5"/>
        <v>0</v>
      </c>
      <c r="R13" s="24">
        <v>0.0</v>
      </c>
      <c r="S13" s="24">
        <v>0.0</v>
      </c>
      <c r="T13" s="25">
        <f t="shared" si="6"/>
        <v>0</v>
      </c>
      <c r="U13" s="24">
        <v>0.0</v>
      </c>
      <c r="V13" s="24">
        <v>0.0</v>
      </c>
      <c r="W13" s="25">
        <f t="shared" si="7"/>
        <v>0</v>
      </c>
      <c r="X13" s="24">
        <v>0.0</v>
      </c>
      <c r="Y13" s="24">
        <v>0.0</v>
      </c>
      <c r="Z13" s="25">
        <f t="shared" si="8"/>
        <v>0</v>
      </c>
      <c r="AA13" s="24">
        <v>0.0</v>
      </c>
      <c r="AB13" s="24">
        <v>0.0</v>
      </c>
      <c r="AC13" s="25">
        <f t="shared" si="9"/>
        <v>0</v>
      </c>
    </row>
    <row r="14" ht="14.25" customHeight="1">
      <c r="B14" s="27" t="s">
        <v>19</v>
      </c>
      <c r="C14" s="28">
        <f t="shared" ref="C14:D14" si="10">SUM(C11:C13)</f>
        <v>0</v>
      </c>
      <c r="D14" s="28">
        <f t="shared" si="10"/>
        <v>0</v>
      </c>
      <c r="E14" s="29">
        <f t="shared" si="1"/>
        <v>0</v>
      </c>
      <c r="F14" s="30">
        <f t="shared" ref="F14:G14" si="11">SUM(F11:F13)</f>
        <v>0</v>
      </c>
      <c r="G14" s="30">
        <f t="shared" si="11"/>
        <v>0</v>
      </c>
      <c r="H14" s="29">
        <f t="shared" si="2"/>
        <v>0</v>
      </c>
      <c r="I14" s="30">
        <f t="shared" ref="I14:J14" si="12">SUM(I11:I13)</f>
        <v>0</v>
      </c>
      <c r="J14" s="30">
        <f t="shared" si="12"/>
        <v>0</v>
      </c>
      <c r="K14" s="29">
        <f t="shared" si="3"/>
        <v>0</v>
      </c>
      <c r="L14" s="31">
        <f t="shared" ref="L14:M14" si="13">SUM(L11:L13)</f>
        <v>0</v>
      </c>
      <c r="M14" s="31">
        <f t="shared" si="13"/>
        <v>0</v>
      </c>
      <c r="N14" s="29">
        <f t="shared" si="4"/>
        <v>0</v>
      </c>
      <c r="O14" s="31">
        <f t="shared" ref="O14:P14" si="14">SUM(O11:O13)</f>
        <v>0</v>
      </c>
      <c r="P14" s="31">
        <f t="shared" si="14"/>
        <v>0</v>
      </c>
      <c r="Q14" s="32">
        <f t="shared" si="5"/>
        <v>0</v>
      </c>
      <c r="R14" s="31">
        <f t="shared" ref="R14:S14" si="15">SUM(R11:R13)</f>
        <v>0</v>
      </c>
      <c r="S14" s="31">
        <f t="shared" si="15"/>
        <v>0</v>
      </c>
      <c r="T14" s="29">
        <f t="shared" si="6"/>
        <v>0</v>
      </c>
      <c r="U14" s="31">
        <f t="shared" ref="U14:V14" si="16">SUM(U11:U13)</f>
        <v>0</v>
      </c>
      <c r="V14" s="31">
        <f t="shared" si="16"/>
        <v>0</v>
      </c>
      <c r="W14" s="29">
        <f t="shared" si="7"/>
        <v>0</v>
      </c>
      <c r="X14" s="31">
        <f t="shared" ref="X14:Y14" si="17">SUM(X11:X13)</f>
        <v>0</v>
      </c>
      <c r="Y14" s="31">
        <f t="shared" si="17"/>
        <v>0</v>
      </c>
      <c r="Z14" s="29">
        <f t="shared" si="8"/>
        <v>0</v>
      </c>
      <c r="AA14" s="31">
        <f t="shared" ref="AA14:AB14" si="18">SUM(AA11:AA13)</f>
        <v>0</v>
      </c>
      <c r="AB14" s="31">
        <f t="shared" si="18"/>
        <v>0</v>
      </c>
      <c r="AC14" s="29">
        <f t="shared" si="9"/>
        <v>0</v>
      </c>
    </row>
    <row r="15">
      <c r="B15" s="23" t="s">
        <v>20</v>
      </c>
      <c r="C15" s="24">
        <v>0.0</v>
      </c>
      <c r="D15" s="24">
        <v>0.0</v>
      </c>
      <c r="E15" s="25">
        <f t="shared" si="1"/>
        <v>0</v>
      </c>
      <c r="F15" s="24">
        <v>0.0</v>
      </c>
      <c r="G15" s="24">
        <v>0.0</v>
      </c>
      <c r="H15" s="25">
        <f t="shared" si="2"/>
        <v>0</v>
      </c>
      <c r="I15" s="24">
        <v>0.0</v>
      </c>
      <c r="J15" s="24">
        <v>0.0</v>
      </c>
      <c r="K15" s="25">
        <f t="shared" si="3"/>
        <v>0</v>
      </c>
      <c r="L15" s="24">
        <v>0.0</v>
      </c>
      <c r="M15" s="24">
        <v>0.0</v>
      </c>
      <c r="N15" s="25">
        <f t="shared" si="4"/>
        <v>0</v>
      </c>
      <c r="O15" s="24">
        <v>0.0</v>
      </c>
      <c r="P15" s="24">
        <v>0.0</v>
      </c>
      <c r="Q15" s="26">
        <f t="shared" si="5"/>
        <v>0</v>
      </c>
      <c r="R15" s="24">
        <v>0.0</v>
      </c>
      <c r="S15" s="24">
        <v>0.0</v>
      </c>
      <c r="T15" s="25">
        <f t="shared" si="6"/>
        <v>0</v>
      </c>
      <c r="U15" s="24">
        <v>0.0</v>
      </c>
      <c r="V15" s="24">
        <v>0.0</v>
      </c>
      <c r="W15" s="25">
        <f t="shared" si="7"/>
        <v>0</v>
      </c>
      <c r="X15" s="24">
        <v>0.0</v>
      </c>
      <c r="Y15" s="24">
        <v>0.0</v>
      </c>
      <c r="Z15" s="25">
        <f t="shared" si="8"/>
        <v>0</v>
      </c>
      <c r="AA15" s="24">
        <v>0.0</v>
      </c>
      <c r="AB15" s="24">
        <v>0.0</v>
      </c>
      <c r="AC15" s="25">
        <f t="shared" si="9"/>
        <v>0</v>
      </c>
    </row>
    <row r="16" ht="14.25" customHeight="1">
      <c r="B16" s="23" t="s">
        <v>21</v>
      </c>
      <c r="C16" s="24">
        <v>0.0</v>
      </c>
      <c r="D16" s="24">
        <v>0.0</v>
      </c>
      <c r="E16" s="25">
        <f t="shared" si="1"/>
        <v>0</v>
      </c>
      <c r="F16" s="24">
        <v>0.0</v>
      </c>
      <c r="G16" s="24">
        <v>0.0</v>
      </c>
      <c r="H16" s="25">
        <f t="shared" si="2"/>
        <v>0</v>
      </c>
      <c r="I16" s="24">
        <v>0.0</v>
      </c>
      <c r="J16" s="24">
        <v>0.0</v>
      </c>
      <c r="K16" s="25">
        <f t="shared" si="3"/>
        <v>0</v>
      </c>
      <c r="L16" s="24">
        <v>0.0</v>
      </c>
      <c r="M16" s="24">
        <v>0.0</v>
      </c>
      <c r="N16" s="25">
        <f t="shared" si="4"/>
        <v>0</v>
      </c>
      <c r="O16" s="24">
        <v>0.0</v>
      </c>
      <c r="P16" s="24">
        <v>0.0</v>
      </c>
      <c r="Q16" s="26">
        <f t="shared" si="5"/>
        <v>0</v>
      </c>
      <c r="R16" s="24">
        <v>0.0</v>
      </c>
      <c r="S16" s="24">
        <v>0.0</v>
      </c>
      <c r="T16" s="25">
        <f t="shared" si="6"/>
        <v>0</v>
      </c>
      <c r="U16" s="24">
        <v>0.0</v>
      </c>
      <c r="V16" s="24">
        <v>0.0</v>
      </c>
      <c r="W16" s="25">
        <f t="shared" si="7"/>
        <v>0</v>
      </c>
      <c r="X16" s="24">
        <v>0.0</v>
      </c>
      <c r="Y16" s="24">
        <v>0.0</v>
      </c>
      <c r="Z16" s="25">
        <f t="shared" si="8"/>
        <v>0</v>
      </c>
      <c r="AA16" s="24">
        <v>0.0</v>
      </c>
      <c r="AB16" s="24">
        <v>0.0</v>
      </c>
      <c r="AC16" s="25">
        <f t="shared" si="9"/>
        <v>0</v>
      </c>
    </row>
    <row r="17" ht="14.25" customHeight="1">
      <c r="B17" s="23" t="s">
        <v>22</v>
      </c>
      <c r="C17" s="24">
        <v>0.0</v>
      </c>
      <c r="D17" s="24">
        <v>0.0</v>
      </c>
      <c r="E17" s="25">
        <f t="shared" si="1"/>
        <v>0</v>
      </c>
      <c r="F17" s="24">
        <v>0.0</v>
      </c>
      <c r="G17" s="24">
        <v>0.0</v>
      </c>
      <c r="H17" s="25">
        <f t="shared" si="2"/>
        <v>0</v>
      </c>
      <c r="I17" s="24">
        <v>0.0</v>
      </c>
      <c r="J17" s="24">
        <v>0.0</v>
      </c>
      <c r="K17" s="25">
        <f t="shared" si="3"/>
        <v>0</v>
      </c>
      <c r="L17" s="24">
        <v>0.0</v>
      </c>
      <c r="M17" s="24">
        <v>0.0</v>
      </c>
      <c r="N17" s="25">
        <f t="shared" si="4"/>
        <v>0</v>
      </c>
      <c r="O17" s="24">
        <v>0.0</v>
      </c>
      <c r="P17" s="24">
        <v>0.0</v>
      </c>
      <c r="Q17" s="26">
        <f t="shared" si="5"/>
        <v>0</v>
      </c>
      <c r="R17" s="24">
        <v>0.0</v>
      </c>
      <c r="S17" s="24">
        <v>0.0</v>
      </c>
      <c r="T17" s="25">
        <f t="shared" si="6"/>
        <v>0</v>
      </c>
      <c r="U17" s="24">
        <v>0.0</v>
      </c>
      <c r="V17" s="24">
        <v>0.0</v>
      </c>
      <c r="W17" s="25">
        <f t="shared" si="7"/>
        <v>0</v>
      </c>
      <c r="X17" s="24">
        <v>0.0</v>
      </c>
      <c r="Y17" s="24">
        <v>0.0</v>
      </c>
      <c r="Z17" s="25">
        <f t="shared" si="8"/>
        <v>0</v>
      </c>
      <c r="AA17" s="24">
        <v>0.0</v>
      </c>
      <c r="AB17" s="24">
        <v>0.0</v>
      </c>
      <c r="AC17" s="25">
        <f t="shared" si="9"/>
        <v>0</v>
      </c>
    </row>
    <row r="18" ht="14.25" customHeight="1">
      <c r="B18" s="27" t="s">
        <v>23</v>
      </c>
      <c r="C18" s="28">
        <f t="shared" ref="C18:D18" si="19">SUM(C15:C17)</f>
        <v>0</v>
      </c>
      <c r="D18" s="28">
        <f t="shared" si="19"/>
        <v>0</v>
      </c>
      <c r="E18" s="29">
        <f t="shared" si="1"/>
        <v>0</v>
      </c>
      <c r="F18" s="30">
        <f t="shared" ref="F18:G18" si="20">SUM(F15:F17)</f>
        <v>0</v>
      </c>
      <c r="G18" s="30">
        <f t="shared" si="20"/>
        <v>0</v>
      </c>
      <c r="H18" s="29">
        <f t="shared" si="2"/>
        <v>0</v>
      </c>
      <c r="I18" s="30">
        <f t="shared" ref="I18:J18" si="21">SUM(I15:I17)</f>
        <v>0</v>
      </c>
      <c r="J18" s="30">
        <f t="shared" si="21"/>
        <v>0</v>
      </c>
      <c r="K18" s="29">
        <f t="shared" si="3"/>
        <v>0</v>
      </c>
      <c r="L18" s="31">
        <f t="shared" ref="L18:M18" si="22">SUM(L15:L17)</f>
        <v>0</v>
      </c>
      <c r="M18" s="31">
        <f t="shared" si="22"/>
        <v>0</v>
      </c>
      <c r="N18" s="29">
        <f t="shared" si="4"/>
        <v>0</v>
      </c>
      <c r="O18" s="31">
        <f t="shared" ref="O18:P18" si="23">SUM(O15:O17)</f>
        <v>0</v>
      </c>
      <c r="P18" s="31">
        <f t="shared" si="23"/>
        <v>0</v>
      </c>
      <c r="Q18" s="32">
        <f t="shared" si="5"/>
        <v>0</v>
      </c>
      <c r="R18" s="31">
        <f t="shared" ref="R18:S18" si="24">SUM(R15:R17)</f>
        <v>0</v>
      </c>
      <c r="S18" s="31">
        <f t="shared" si="24"/>
        <v>0</v>
      </c>
      <c r="T18" s="29">
        <f t="shared" si="6"/>
        <v>0</v>
      </c>
      <c r="U18" s="31">
        <f t="shared" ref="U18:V18" si="25">SUM(U15:U17)</f>
        <v>0</v>
      </c>
      <c r="V18" s="31">
        <f t="shared" si="25"/>
        <v>0</v>
      </c>
      <c r="W18" s="29">
        <f t="shared" si="7"/>
        <v>0</v>
      </c>
      <c r="X18" s="31">
        <f t="shared" ref="X18:Y18" si="26">SUM(X15:X17)</f>
        <v>0</v>
      </c>
      <c r="Y18" s="31">
        <f t="shared" si="26"/>
        <v>0</v>
      </c>
      <c r="Z18" s="29">
        <f t="shared" si="8"/>
        <v>0</v>
      </c>
      <c r="AA18" s="31">
        <f t="shared" ref="AA18:AB18" si="27">SUM(AA15:AA17)</f>
        <v>0</v>
      </c>
      <c r="AB18" s="31">
        <f t="shared" si="27"/>
        <v>0</v>
      </c>
      <c r="AC18" s="29">
        <f t="shared" si="9"/>
        <v>0</v>
      </c>
    </row>
    <row r="19">
      <c r="B19" s="23" t="s">
        <v>24</v>
      </c>
      <c r="C19" s="24">
        <v>0.0</v>
      </c>
      <c r="D19" s="24">
        <v>0.0</v>
      </c>
      <c r="E19" s="25">
        <f t="shared" si="1"/>
        <v>0</v>
      </c>
      <c r="F19" s="24">
        <v>0.0</v>
      </c>
      <c r="G19" s="24">
        <v>0.0</v>
      </c>
      <c r="H19" s="25">
        <f t="shared" si="2"/>
        <v>0</v>
      </c>
      <c r="I19" s="24">
        <v>0.0</v>
      </c>
      <c r="J19" s="24">
        <v>0.0</v>
      </c>
      <c r="K19" s="25">
        <f t="shared" si="3"/>
        <v>0</v>
      </c>
      <c r="L19" s="33">
        <f>'Jul25'!O25</f>
        <v>0</v>
      </c>
      <c r="M19" s="33">
        <f>'Jul25'!P25</f>
        <v>0</v>
      </c>
      <c r="N19" s="25">
        <f t="shared" si="4"/>
        <v>0</v>
      </c>
      <c r="O19" s="33">
        <f>'Jul25'!R25</f>
        <v>0</v>
      </c>
      <c r="P19" s="33">
        <f>'Jul25'!S25</f>
        <v>0</v>
      </c>
      <c r="Q19" s="26">
        <f t="shared" si="5"/>
        <v>0</v>
      </c>
      <c r="R19" s="33">
        <f>'Jul25'!R25</f>
        <v>0</v>
      </c>
      <c r="S19" s="33">
        <f>'Jul25'!S25</f>
        <v>0</v>
      </c>
      <c r="T19" s="25">
        <f t="shared" si="6"/>
        <v>0</v>
      </c>
      <c r="U19" s="33">
        <f>'Jul25'!U25</f>
        <v>0</v>
      </c>
      <c r="V19" s="33">
        <f>'Jul25'!V25</f>
        <v>0</v>
      </c>
      <c r="W19" s="25">
        <f t="shared" si="7"/>
        <v>0</v>
      </c>
      <c r="X19" s="33">
        <f>'Jul25'!AA25</f>
        <v>0</v>
      </c>
      <c r="Y19" s="33">
        <f>'Jul25'!AB25</f>
        <v>0</v>
      </c>
      <c r="Z19" s="25">
        <f t="shared" si="8"/>
        <v>0</v>
      </c>
      <c r="AA19" s="33">
        <f>'Jul25'!AG25</f>
        <v>0</v>
      </c>
      <c r="AB19" s="33">
        <f>'Jul25'!AH25</f>
        <v>0</v>
      </c>
      <c r="AC19" s="25">
        <f t="shared" si="9"/>
        <v>0</v>
      </c>
    </row>
    <row r="20" ht="14.25" customHeight="1">
      <c r="B20" s="23" t="s">
        <v>25</v>
      </c>
      <c r="C20" s="24">
        <v>0.0</v>
      </c>
      <c r="D20" s="24">
        <v>0.0</v>
      </c>
      <c r="E20" s="25">
        <f t="shared" si="1"/>
        <v>0</v>
      </c>
      <c r="F20" s="24">
        <v>0.0</v>
      </c>
      <c r="G20" s="24">
        <v>0.0</v>
      </c>
      <c r="H20" s="25">
        <f t="shared" si="2"/>
        <v>0</v>
      </c>
      <c r="I20" s="24">
        <v>0.0</v>
      </c>
      <c r="J20" s="24">
        <v>0.0</v>
      </c>
      <c r="K20" s="25">
        <f t="shared" si="3"/>
        <v>0</v>
      </c>
      <c r="L20" s="33">
        <f>'Aug25'!O25</f>
        <v>0</v>
      </c>
      <c r="M20" s="33">
        <f>'Aug25'!P25</f>
        <v>0</v>
      </c>
      <c r="N20" s="25">
        <f t="shared" si="4"/>
        <v>0</v>
      </c>
      <c r="O20" s="33">
        <f>'Aug25'!R25</f>
        <v>0</v>
      </c>
      <c r="P20" s="33">
        <f>'Aug25'!S25</f>
        <v>0</v>
      </c>
      <c r="Q20" s="26">
        <f t="shared" si="5"/>
        <v>0</v>
      </c>
      <c r="R20" s="33">
        <f>'Aug25'!R25</f>
        <v>0</v>
      </c>
      <c r="S20" s="33">
        <f>'Aug25'!S25</f>
        <v>0</v>
      </c>
      <c r="T20" s="25">
        <f t="shared" si="6"/>
        <v>0</v>
      </c>
      <c r="U20" s="33">
        <f>'Aug25'!U25</f>
        <v>0</v>
      </c>
      <c r="V20" s="33">
        <f>'Aug25'!V25</f>
        <v>0</v>
      </c>
      <c r="W20" s="25">
        <f t="shared" si="7"/>
        <v>0</v>
      </c>
      <c r="X20" s="33">
        <f>'Aug25'!AA25</f>
        <v>0</v>
      </c>
      <c r="Y20" s="33">
        <f>'Aug25'!AB25</f>
        <v>0</v>
      </c>
      <c r="Z20" s="25">
        <f t="shared" si="8"/>
        <v>0</v>
      </c>
      <c r="AA20" s="33">
        <f>'Aug25'!AG25</f>
        <v>0</v>
      </c>
      <c r="AB20" s="33">
        <f>'Aug25'!AH25</f>
        <v>0</v>
      </c>
      <c r="AC20" s="25">
        <f t="shared" si="9"/>
        <v>0</v>
      </c>
    </row>
    <row r="21" ht="14.25" customHeight="1">
      <c r="B21" s="23" t="s">
        <v>26</v>
      </c>
      <c r="C21" s="24">
        <f>'Sep24'!F42</f>
        <v>9010</v>
      </c>
      <c r="D21" s="24">
        <f>'Sep24'!G42</f>
        <v>25023</v>
      </c>
      <c r="E21" s="25">
        <f t="shared" si="1"/>
        <v>34033</v>
      </c>
      <c r="F21" s="34">
        <f>'Sep24'!I42</f>
        <v>289870</v>
      </c>
      <c r="G21" s="34">
        <f>'Sep24'!J42</f>
        <v>875805</v>
      </c>
      <c r="H21" s="25">
        <f t="shared" si="2"/>
        <v>1165675</v>
      </c>
      <c r="I21" s="34">
        <f>'Sep24'!L42</f>
        <v>152727</v>
      </c>
      <c r="J21" s="34">
        <f>'Sep24'!M42</f>
        <v>509984</v>
      </c>
      <c r="K21" s="25">
        <f t="shared" si="3"/>
        <v>662711</v>
      </c>
      <c r="L21" s="33">
        <f>'Sep24'!O42</f>
        <v>27020.5036</v>
      </c>
      <c r="M21" s="33">
        <f>'Sep24'!P42</f>
        <v>80688.84892</v>
      </c>
      <c r="N21" s="25">
        <f t="shared" si="4"/>
        <v>107709.3525</v>
      </c>
      <c r="O21" s="33">
        <f>'Sep24'!R42</f>
        <v>125706.4964</v>
      </c>
      <c r="P21" s="33">
        <f>'Sep24'!S42</f>
        <v>429295.1511</v>
      </c>
      <c r="Q21" s="26">
        <f t="shared" si="5"/>
        <v>555001.6475</v>
      </c>
      <c r="R21" s="33">
        <f>'Sep24'!U42</f>
        <v>69138.57302</v>
      </c>
      <c r="S21" s="33">
        <f>'Sep24'!V42</f>
        <v>236112.3331</v>
      </c>
      <c r="T21" s="25">
        <f t="shared" si="6"/>
        <v>305250.9061</v>
      </c>
      <c r="U21" s="33">
        <f>'Sep24'!X42</f>
        <v>72777.44529</v>
      </c>
      <c r="V21" s="33">
        <f>'Sep24'!Y42</f>
        <v>248539.298</v>
      </c>
      <c r="W21" s="25">
        <f t="shared" si="7"/>
        <v>321316.7433</v>
      </c>
      <c r="X21" s="33">
        <f>'Sep24'!AD42</f>
        <v>63950.56699</v>
      </c>
      <c r="Y21" s="33">
        <f>'Sep24'!AE42</f>
        <v>224124.3716</v>
      </c>
      <c r="Z21" s="25">
        <f t="shared" si="8"/>
        <v>288074.9386</v>
      </c>
      <c r="AA21" s="33">
        <f>'Sep24'!AJ42</f>
        <v>2276</v>
      </c>
      <c r="AB21" s="33">
        <f>'Sep24'!AK42</f>
        <v>8081.057001</v>
      </c>
      <c r="AC21" s="25">
        <f t="shared" si="9"/>
        <v>10357.057</v>
      </c>
    </row>
    <row r="22" ht="14.25" customHeight="1">
      <c r="B22" s="27" t="s">
        <v>27</v>
      </c>
      <c r="C22" s="28">
        <f t="shared" ref="C22:D22" si="28">SUM(C19:C21)</f>
        <v>9010</v>
      </c>
      <c r="D22" s="28">
        <f t="shared" si="28"/>
        <v>25023</v>
      </c>
      <c r="E22" s="29">
        <f t="shared" si="1"/>
        <v>34033</v>
      </c>
      <c r="F22" s="30">
        <f t="shared" ref="F22:G22" si="29">SUM(F19:F21)</f>
        <v>289870</v>
      </c>
      <c r="G22" s="30">
        <f t="shared" si="29"/>
        <v>875805</v>
      </c>
      <c r="H22" s="29">
        <f t="shared" si="2"/>
        <v>1165675</v>
      </c>
      <c r="I22" s="30">
        <f t="shared" ref="I22:J22" si="30">SUM(I19:I21)</f>
        <v>152727</v>
      </c>
      <c r="J22" s="30">
        <f t="shared" si="30"/>
        <v>509984</v>
      </c>
      <c r="K22" s="29">
        <f t="shared" si="3"/>
        <v>662711</v>
      </c>
      <c r="L22" s="31">
        <f t="shared" ref="L22:M22" si="31">SUM(L19:L21)</f>
        <v>27020.5036</v>
      </c>
      <c r="M22" s="31">
        <f t="shared" si="31"/>
        <v>80688.84892</v>
      </c>
      <c r="N22" s="29">
        <f t="shared" si="4"/>
        <v>107709.3525</v>
      </c>
      <c r="O22" s="31">
        <f t="shared" ref="O22:P22" si="32">SUM(O19:O21)</f>
        <v>125706.4964</v>
      </c>
      <c r="P22" s="31">
        <f t="shared" si="32"/>
        <v>429295.1511</v>
      </c>
      <c r="Q22" s="32">
        <f t="shared" si="5"/>
        <v>555001.6475</v>
      </c>
      <c r="R22" s="31">
        <f t="shared" ref="R22:S22" si="33">SUM(R19:R21)</f>
        <v>69138.57302</v>
      </c>
      <c r="S22" s="31">
        <f t="shared" si="33"/>
        <v>236112.3331</v>
      </c>
      <c r="T22" s="29">
        <f t="shared" si="6"/>
        <v>305250.9061</v>
      </c>
      <c r="U22" s="31">
        <f t="shared" ref="U22:V22" si="34">SUM(U19:U21)</f>
        <v>72777.44529</v>
      </c>
      <c r="V22" s="31">
        <f t="shared" si="34"/>
        <v>248539.298</v>
      </c>
      <c r="W22" s="29">
        <f t="shared" si="7"/>
        <v>321316.7433</v>
      </c>
      <c r="X22" s="31">
        <f t="shared" ref="X22:Y22" si="35">SUM(X19:X21)</f>
        <v>63950.56699</v>
      </c>
      <c r="Y22" s="31">
        <f t="shared" si="35"/>
        <v>224124.3716</v>
      </c>
      <c r="Z22" s="29">
        <f t="shared" si="8"/>
        <v>288074.9386</v>
      </c>
      <c r="AA22" s="31">
        <f t="shared" ref="AA22:AB22" si="36">SUM(AA19:AA21)</f>
        <v>2276</v>
      </c>
      <c r="AB22" s="31">
        <f t="shared" si="36"/>
        <v>8081.057001</v>
      </c>
      <c r="AC22" s="25">
        <f t="shared" si="9"/>
        <v>10357.057</v>
      </c>
    </row>
    <row r="23">
      <c r="B23" s="23" t="s">
        <v>28</v>
      </c>
      <c r="C23" s="24">
        <f>'Oct24'!F43</f>
        <v>31266</v>
      </c>
      <c r="D23" s="24">
        <f>'Oct24'!G43</f>
        <v>0</v>
      </c>
      <c r="E23" s="25">
        <f t="shared" si="1"/>
        <v>31266</v>
      </c>
      <c r="F23" s="34">
        <f>'Oct24'!L43</f>
        <v>594292</v>
      </c>
      <c r="G23" s="34">
        <f>'Oct24'!M43</f>
        <v>0</v>
      </c>
      <c r="H23" s="25">
        <f t="shared" si="2"/>
        <v>594292</v>
      </c>
      <c r="I23" s="34">
        <f>'Oct24'!L43</f>
        <v>594292</v>
      </c>
      <c r="J23" s="34">
        <f>'Oct24'!M43</f>
        <v>0</v>
      </c>
      <c r="K23" s="25">
        <f t="shared" si="3"/>
        <v>594292</v>
      </c>
      <c r="L23" s="33">
        <f>'Oct24'!O43</f>
        <v>54986.33094</v>
      </c>
      <c r="M23" s="33">
        <f>'Oct24'!P43</f>
        <v>0</v>
      </c>
      <c r="N23" s="25">
        <f t="shared" si="4"/>
        <v>54986.33094</v>
      </c>
      <c r="O23" s="33">
        <f>'Oct24'!R43</f>
        <v>404236.6691</v>
      </c>
      <c r="P23" s="33">
        <f>'Oct24'!S43</f>
        <v>0</v>
      </c>
      <c r="Q23" s="26">
        <f t="shared" si="5"/>
        <v>404236.6691</v>
      </c>
      <c r="R23" s="33">
        <f>'Oct24'!U43</f>
        <v>222330.168</v>
      </c>
      <c r="S23" s="33">
        <f>'Oct24'!V43</f>
        <v>0</v>
      </c>
      <c r="T23" s="25">
        <f t="shared" si="6"/>
        <v>222330.168</v>
      </c>
      <c r="U23" s="33">
        <f>'Oct24'!X43</f>
        <v>234031.7558</v>
      </c>
      <c r="V23" s="33">
        <f>'Oct24'!Y43</f>
        <v>0</v>
      </c>
      <c r="W23" s="25">
        <f t="shared" si="7"/>
        <v>234031.7558</v>
      </c>
      <c r="X23" s="33">
        <f>'Oct24'!AD43</f>
        <v>112756.8975</v>
      </c>
      <c r="Y23" s="33">
        <f>'Oct24'!AE43</f>
        <v>0</v>
      </c>
      <c r="Z23" s="25">
        <f t="shared" si="8"/>
        <v>112756.8975</v>
      </c>
      <c r="AA23" s="33">
        <f>'Oct24'!AJ43</f>
        <v>4022</v>
      </c>
      <c r="AB23" s="33">
        <f>'Oct24'!AK43</f>
        <v>0</v>
      </c>
      <c r="AC23" s="25">
        <f t="shared" si="9"/>
        <v>4022</v>
      </c>
    </row>
    <row r="24" ht="14.25" customHeight="1">
      <c r="B24" s="23" t="s">
        <v>29</v>
      </c>
      <c r="C24" s="24">
        <f>'Nov24'!F42</f>
        <v>27439</v>
      </c>
      <c r="D24" s="24">
        <f>'Nov24'!G42</f>
        <v>0</v>
      </c>
      <c r="E24" s="25">
        <f t="shared" si="1"/>
        <v>27439</v>
      </c>
      <c r="F24" s="34">
        <f>'Nov24'!L42</f>
        <v>850851</v>
      </c>
      <c r="G24" s="34">
        <f>'Nov24'!M42</f>
        <v>0</v>
      </c>
      <c r="H24" s="25">
        <f t="shared" si="2"/>
        <v>850851</v>
      </c>
      <c r="I24" s="34">
        <f>'Nov24'!L42</f>
        <v>850851</v>
      </c>
      <c r="J24" s="34">
        <f>'Nov24'!M42</f>
        <v>0</v>
      </c>
      <c r="K24" s="25">
        <f t="shared" si="3"/>
        <v>850851</v>
      </c>
      <c r="L24" s="33">
        <f>'Nov24'!O42</f>
        <v>105369.0647</v>
      </c>
      <c r="M24" s="33">
        <f>'Nov24'!P42</f>
        <v>0</v>
      </c>
      <c r="N24" s="25">
        <f t="shared" si="4"/>
        <v>105369.0647</v>
      </c>
      <c r="O24" s="33">
        <f>'Nov24'!R42</f>
        <v>745481.9353</v>
      </c>
      <c r="P24" s="33">
        <f>'Nov24'!S42</f>
        <v>0</v>
      </c>
      <c r="Q24" s="26">
        <f t="shared" si="5"/>
        <v>745481.9353</v>
      </c>
      <c r="R24" s="33">
        <f>'Nov24'!U42</f>
        <v>410015.0644</v>
      </c>
      <c r="S24" s="33">
        <f>'Nov24'!V42</f>
        <v>0</v>
      </c>
      <c r="T24" s="25">
        <f t="shared" si="6"/>
        <v>410015.0644</v>
      </c>
      <c r="U24" s="33">
        <f>'Nov24'!X42</f>
        <v>431594.8046</v>
      </c>
      <c r="V24" s="33">
        <f>'Nov24'!Y42</f>
        <v>0</v>
      </c>
      <c r="W24" s="25">
        <f t="shared" si="7"/>
        <v>431594.8046</v>
      </c>
      <c r="X24" s="33">
        <f>'Nov24'!AD42</f>
        <v>237987.4746</v>
      </c>
      <c r="Y24" s="33">
        <f>'Nov24'!AE42</f>
        <v>0</v>
      </c>
      <c r="Z24" s="25">
        <f t="shared" si="8"/>
        <v>237987.4746</v>
      </c>
      <c r="AA24" s="33">
        <f>'Nov24'!AJ42</f>
        <v>8436</v>
      </c>
      <c r="AB24" s="33">
        <f>'Nov24'!AK42</f>
        <v>0</v>
      </c>
      <c r="AC24" s="25">
        <f t="shared" si="9"/>
        <v>8436</v>
      </c>
    </row>
    <row r="25" ht="14.25" customHeight="1">
      <c r="B25" s="23" t="s">
        <v>30</v>
      </c>
      <c r="C25" s="24">
        <f>'Dec24'!F43</f>
        <v>25326</v>
      </c>
      <c r="D25" s="24">
        <f>'Dec24'!G43</f>
        <v>0</v>
      </c>
      <c r="E25" s="25">
        <f t="shared" si="1"/>
        <v>25326</v>
      </c>
      <c r="F25" s="34">
        <f>'Dec24'!L43</f>
        <v>725315</v>
      </c>
      <c r="G25" s="34">
        <f>'Dec24'!M43</f>
        <v>0</v>
      </c>
      <c r="H25" s="25">
        <f t="shared" si="2"/>
        <v>725315</v>
      </c>
      <c r="I25" s="34">
        <f>'Dec24'!L43</f>
        <v>725315</v>
      </c>
      <c r="J25" s="34">
        <f>'Dec24'!M43</f>
        <v>0</v>
      </c>
      <c r="K25" s="25">
        <f t="shared" si="3"/>
        <v>725315</v>
      </c>
      <c r="L25" s="33">
        <f>'Dec24'!O43</f>
        <v>98139.20863</v>
      </c>
      <c r="M25" s="33">
        <f>'Dec24'!P43</f>
        <v>0</v>
      </c>
      <c r="N25" s="25">
        <f t="shared" si="4"/>
        <v>98139.20863</v>
      </c>
      <c r="O25" s="33">
        <f>'Dec24'!R43</f>
        <v>628143.7914</v>
      </c>
      <c r="P25" s="33">
        <f>'Dec24'!S43</f>
        <v>0</v>
      </c>
      <c r="Q25" s="26">
        <f t="shared" si="5"/>
        <v>628143.7914</v>
      </c>
      <c r="R25" s="33">
        <f>'Dec24'!U43</f>
        <v>345479.0853</v>
      </c>
      <c r="S25" s="33">
        <f>'Dec24'!V43</f>
        <v>0</v>
      </c>
      <c r="T25" s="25">
        <f t="shared" si="6"/>
        <v>345479.0853</v>
      </c>
      <c r="U25" s="33">
        <f>'Dec24'!X43</f>
        <v>363662.195</v>
      </c>
      <c r="V25" s="33">
        <f>'Dec24'!Y43</f>
        <v>0</v>
      </c>
      <c r="W25" s="25">
        <f t="shared" si="7"/>
        <v>363662.195</v>
      </c>
      <c r="X25" s="33">
        <f>'Dec24'!AD43</f>
        <v>159515.0872</v>
      </c>
      <c r="Y25" s="33">
        <f>'Dec24'!AE43</f>
        <v>0</v>
      </c>
      <c r="Z25" s="25">
        <f t="shared" si="8"/>
        <v>159515.0872</v>
      </c>
      <c r="AA25" s="33">
        <f>'Dec24'!AJ43</f>
        <v>5656</v>
      </c>
      <c r="AB25" s="33">
        <f>'Dec24'!AK43</f>
        <v>0</v>
      </c>
      <c r="AC25" s="25">
        <f t="shared" si="9"/>
        <v>5656</v>
      </c>
    </row>
    <row r="26" ht="14.25" customHeight="1">
      <c r="B26" s="27" t="s">
        <v>31</v>
      </c>
      <c r="C26" s="28">
        <f t="shared" ref="C26:D26" si="37">SUM(C23:C25)</f>
        <v>84031</v>
      </c>
      <c r="D26" s="28">
        <f t="shared" si="37"/>
        <v>0</v>
      </c>
      <c r="E26" s="29">
        <f t="shared" si="1"/>
        <v>84031</v>
      </c>
      <c r="F26" s="30">
        <f t="shared" ref="F26:G26" si="38">SUM(F23:F25)</f>
        <v>2170458</v>
      </c>
      <c r="G26" s="30">
        <f t="shared" si="38"/>
        <v>0</v>
      </c>
      <c r="H26" s="29">
        <f t="shared" si="2"/>
        <v>2170458</v>
      </c>
      <c r="I26" s="30">
        <f t="shared" ref="I26:J26" si="39">SUM(I23:I25)</f>
        <v>2170458</v>
      </c>
      <c r="J26" s="30">
        <f t="shared" si="39"/>
        <v>0</v>
      </c>
      <c r="K26" s="29">
        <f t="shared" si="3"/>
        <v>2170458</v>
      </c>
      <c r="L26" s="31">
        <f t="shared" ref="L26:M26" si="40">SUM(L23:L25)</f>
        <v>258494.6043</v>
      </c>
      <c r="M26" s="31">
        <f t="shared" si="40"/>
        <v>0</v>
      </c>
      <c r="N26" s="29">
        <f t="shared" si="4"/>
        <v>258494.6043</v>
      </c>
      <c r="O26" s="31">
        <f t="shared" ref="O26:P26" si="41">SUM(O23:O25)</f>
        <v>1777862.396</v>
      </c>
      <c r="P26" s="31">
        <f t="shared" si="41"/>
        <v>0</v>
      </c>
      <c r="Q26" s="32">
        <f t="shared" si="5"/>
        <v>1777862.396</v>
      </c>
      <c r="R26" s="31">
        <f t="shared" ref="R26:S26" si="42">SUM(R23:R25)</f>
        <v>977824.3176</v>
      </c>
      <c r="S26" s="31">
        <f t="shared" si="42"/>
        <v>0</v>
      </c>
      <c r="T26" s="29">
        <f t="shared" si="6"/>
        <v>977824.3176</v>
      </c>
      <c r="U26" s="31">
        <f t="shared" ref="U26:V26" si="43">SUM(U23:U25)</f>
        <v>1029288.755</v>
      </c>
      <c r="V26" s="31">
        <f t="shared" si="43"/>
        <v>0</v>
      </c>
      <c r="W26" s="29">
        <f t="shared" si="7"/>
        <v>1029288.755</v>
      </c>
      <c r="X26" s="31">
        <f t="shared" ref="X26:Y26" si="44">SUM(X23:X25)</f>
        <v>510259.4594</v>
      </c>
      <c r="Y26" s="31">
        <f t="shared" si="44"/>
        <v>0</v>
      </c>
      <c r="Z26" s="29">
        <f t="shared" si="8"/>
        <v>510259.4594</v>
      </c>
      <c r="AA26" s="31">
        <f t="shared" ref="AA26:AB26" si="45">SUM(AA23:AA25)</f>
        <v>18114</v>
      </c>
      <c r="AB26" s="31">
        <f t="shared" si="45"/>
        <v>0</v>
      </c>
      <c r="AC26" s="29">
        <f t="shared" si="9"/>
        <v>18114</v>
      </c>
    </row>
    <row r="27">
      <c r="B27" s="27" t="s">
        <v>32</v>
      </c>
      <c r="C27" s="28">
        <f t="shared" ref="C27:AC27" si="46">C14+C18+C22+C26</f>
        <v>93041</v>
      </c>
      <c r="D27" s="28">
        <f t="shared" si="46"/>
        <v>25023</v>
      </c>
      <c r="E27" s="28">
        <f t="shared" si="46"/>
        <v>118064</v>
      </c>
      <c r="F27" s="28">
        <f t="shared" si="46"/>
        <v>2460328</v>
      </c>
      <c r="G27" s="28">
        <f t="shared" si="46"/>
        <v>875805</v>
      </c>
      <c r="H27" s="28">
        <f t="shared" si="46"/>
        <v>3336133</v>
      </c>
      <c r="I27" s="28">
        <f t="shared" si="46"/>
        <v>2323185</v>
      </c>
      <c r="J27" s="28">
        <f t="shared" si="46"/>
        <v>509984</v>
      </c>
      <c r="K27" s="28">
        <f t="shared" si="46"/>
        <v>2833169</v>
      </c>
      <c r="L27" s="28">
        <f t="shared" si="46"/>
        <v>285515.1079</v>
      </c>
      <c r="M27" s="28">
        <f t="shared" si="46"/>
        <v>80688.84892</v>
      </c>
      <c r="N27" s="28">
        <f t="shared" si="46"/>
        <v>366203.9568</v>
      </c>
      <c r="O27" s="28">
        <f t="shared" si="46"/>
        <v>1903568.892</v>
      </c>
      <c r="P27" s="28">
        <f t="shared" si="46"/>
        <v>429295.1511</v>
      </c>
      <c r="Q27" s="28">
        <f t="shared" si="46"/>
        <v>2332864.043</v>
      </c>
      <c r="R27" s="28">
        <f t="shared" si="46"/>
        <v>1046962.891</v>
      </c>
      <c r="S27" s="28">
        <f t="shared" si="46"/>
        <v>236112.3331</v>
      </c>
      <c r="T27" s="28">
        <f t="shared" si="46"/>
        <v>1283075.224</v>
      </c>
      <c r="U27" s="28">
        <f t="shared" si="46"/>
        <v>1102066.201</v>
      </c>
      <c r="V27" s="28">
        <f t="shared" si="46"/>
        <v>248539.298</v>
      </c>
      <c r="W27" s="28">
        <f t="shared" si="46"/>
        <v>1350605.499</v>
      </c>
      <c r="X27" s="28">
        <f t="shared" si="46"/>
        <v>574210.0264</v>
      </c>
      <c r="Y27" s="28">
        <f t="shared" si="46"/>
        <v>224124.3716</v>
      </c>
      <c r="Z27" s="28">
        <f t="shared" si="46"/>
        <v>798334.398</v>
      </c>
      <c r="AA27" s="28">
        <f t="shared" si="46"/>
        <v>20390</v>
      </c>
      <c r="AB27" s="28">
        <f t="shared" si="46"/>
        <v>8081.057001</v>
      </c>
      <c r="AC27" s="28">
        <f t="shared" si="46"/>
        <v>28471.057</v>
      </c>
      <c r="AE27" s="35">
        <f>Z27/W27*100</f>
        <v>59.10936974</v>
      </c>
    </row>
    <row r="28"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8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E28" s="35"/>
    </row>
    <row r="29" ht="15.0" customHeight="1">
      <c r="B29" s="23" t="s">
        <v>16</v>
      </c>
      <c r="C29" s="24">
        <f>'Jan25'!F43</f>
        <v>21206</v>
      </c>
      <c r="D29" s="24">
        <f>'Jan25'!G43</f>
        <v>0</v>
      </c>
      <c r="E29" s="25">
        <f t="shared" ref="E29:E44" si="47">SUM(C29:D29)</f>
        <v>21206</v>
      </c>
      <c r="F29" s="34">
        <f>'Jan25'!I43</f>
        <v>742210</v>
      </c>
      <c r="G29" s="34">
        <f>'Jan25'!J43</f>
        <v>0</v>
      </c>
      <c r="H29" s="25">
        <f t="shared" ref="H29:H44" si="48">SUM(F29:G29)</f>
        <v>742210</v>
      </c>
      <c r="I29" s="34">
        <f>'Jan25'!L43</f>
        <v>542487</v>
      </c>
      <c r="J29" s="34">
        <f>'Jan25'!M43</f>
        <v>0</v>
      </c>
      <c r="K29" s="25">
        <f t="shared" ref="K29:K44" si="49">SUM(I29:J29)</f>
        <v>542487</v>
      </c>
      <c r="L29" s="33">
        <f>'Jan25'!O43</f>
        <v>66158.63309</v>
      </c>
      <c r="M29" s="33">
        <f>'Jan25'!P43</f>
        <v>0</v>
      </c>
      <c r="N29" s="25">
        <f t="shared" ref="N29:N44" si="50">SUM(L29:M29)</f>
        <v>66158.63309</v>
      </c>
      <c r="O29" s="33">
        <f>'Jan25'!R43</f>
        <v>476328.3669</v>
      </c>
      <c r="P29" s="33">
        <f>'Jan25'!S43</f>
        <v>0</v>
      </c>
      <c r="Q29" s="26">
        <f t="shared" ref="Q29:Q44" si="51">SUM(O29:P29)</f>
        <v>476328.3669</v>
      </c>
      <c r="R29" s="33">
        <f>'Jan25'!U43</f>
        <v>261980.6018</v>
      </c>
      <c r="S29" s="33">
        <f>'Jan25'!V43</f>
        <v>0</v>
      </c>
      <c r="T29" s="25">
        <f t="shared" ref="T29:T44" si="52">R29+S29</f>
        <v>261980.6018</v>
      </c>
      <c r="U29" s="33">
        <f>'Jan25'!X43</f>
        <v>275769.0545</v>
      </c>
      <c r="V29" s="33">
        <f>'Jan25'!Y43</f>
        <v>0</v>
      </c>
      <c r="W29" s="25">
        <f t="shared" ref="W29:W44" si="53">U29+V29</f>
        <v>275769.0545</v>
      </c>
      <c r="X29" s="33">
        <f>'Jan25'!AD43</f>
        <v>64273.52956</v>
      </c>
      <c r="Y29" s="33">
        <f>'Jan25'!AE43</f>
        <v>0</v>
      </c>
      <c r="Z29" s="25">
        <f t="shared" ref="Z29:Z44" si="54">X29+Y29</f>
        <v>64273.52956</v>
      </c>
      <c r="AA29" s="33">
        <f>'Jan25'!AJ43</f>
        <v>2323</v>
      </c>
      <c r="AB29" s="33">
        <f>'Jan25'!AK43</f>
        <v>0</v>
      </c>
      <c r="AC29" s="25">
        <f t="shared" ref="AC29:AC44" si="55">AA29+AB29</f>
        <v>2323</v>
      </c>
    </row>
    <row r="30" ht="18.0" customHeight="1">
      <c r="B30" s="23" t="s">
        <v>17</v>
      </c>
      <c r="C30" s="24">
        <f>'Feb25'!F40</f>
        <v>17391</v>
      </c>
      <c r="D30" s="24">
        <f>'Feb25'!G40</f>
        <v>0</v>
      </c>
      <c r="E30" s="25">
        <f t="shared" si="47"/>
        <v>17391</v>
      </c>
      <c r="F30" s="34">
        <f>'Feb25'!I40</f>
        <v>608685</v>
      </c>
      <c r="G30" s="34">
        <f>'Feb25'!J40</f>
        <v>0</v>
      </c>
      <c r="H30" s="25">
        <f t="shared" si="48"/>
        <v>608685</v>
      </c>
      <c r="I30" s="34">
        <f>'Feb25'!L40</f>
        <v>242195</v>
      </c>
      <c r="J30" s="34">
        <f>'Feb25'!M40</f>
        <v>0</v>
      </c>
      <c r="K30" s="25">
        <f t="shared" si="49"/>
        <v>242195</v>
      </c>
      <c r="L30" s="33">
        <f>'Feb25'!O40</f>
        <v>31257.19424</v>
      </c>
      <c r="M30" s="33">
        <f>'Feb25'!P40</f>
        <v>0</v>
      </c>
      <c r="N30" s="25">
        <f t="shared" si="50"/>
        <v>31257.19424</v>
      </c>
      <c r="O30" s="33">
        <f>'Feb25'!R40</f>
        <v>210937.8058</v>
      </c>
      <c r="P30" s="33">
        <f>'Feb25'!S40</f>
        <v>0</v>
      </c>
      <c r="Q30" s="26">
        <f t="shared" si="51"/>
        <v>210937.8058</v>
      </c>
      <c r="R30" s="33">
        <f>'Feb25'!U40</f>
        <v>116015.7932</v>
      </c>
      <c r="S30" s="33">
        <f>'Feb25'!V40</f>
        <v>0</v>
      </c>
      <c r="T30" s="25">
        <f t="shared" si="52"/>
        <v>116015.7932</v>
      </c>
      <c r="U30" s="33">
        <f>'Feb25'!X40</f>
        <v>122121.8875</v>
      </c>
      <c r="V30" s="33">
        <f>'Feb25'!Y40</f>
        <v>0</v>
      </c>
      <c r="W30" s="25">
        <f t="shared" si="53"/>
        <v>122121.8875</v>
      </c>
      <c r="X30" s="33">
        <f>'Feb25'!AD40</f>
        <v>40498.86385</v>
      </c>
      <c r="Y30" s="33">
        <f>'Feb25'!AE40</f>
        <v>0</v>
      </c>
      <c r="Z30" s="25">
        <f t="shared" si="54"/>
        <v>40498.86385</v>
      </c>
      <c r="AA30" s="33">
        <f>'Feb25'!AJ40</f>
        <v>1432</v>
      </c>
      <c r="AB30" s="33">
        <f>'Feb25'!AK40</f>
        <v>0</v>
      </c>
      <c r="AC30" s="25">
        <f t="shared" si="55"/>
        <v>1432</v>
      </c>
    </row>
    <row r="31" ht="14.25" customHeight="1">
      <c r="B31" s="23" t="s">
        <v>18</v>
      </c>
      <c r="C31" s="24">
        <f>'Mar25'!F43</f>
        <v>26446</v>
      </c>
      <c r="D31" s="24">
        <f>'Mar25'!G43</f>
        <v>0</v>
      </c>
      <c r="E31" s="25">
        <f t="shared" si="47"/>
        <v>26446</v>
      </c>
      <c r="F31" s="34">
        <f>'Mar25'!L43</f>
        <v>599848.7</v>
      </c>
      <c r="G31" s="34">
        <f>'Mar25'!M43</f>
        <v>0</v>
      </c>
      <c r="H31" s="25">
        <f t="shared" si="48"/>
        <v>599848.7</v>
      </c>
      <c r="I31" s="34">
        <f>'Mar25'!L43</f>
        <v>599848.7</v>
      </c>
      <c r="J31" s="34">
        <f>'Mar25'!M43</f>
        <v>0</v>
      </c>
      <c r="K31" s="25">
        <f t="shared" si="49"/>
        <v>599848.7</v>
      </c>
      <c r="L31" s="33">
        <f>'Mar25'!O43</f>
        <v>79359.35252</v>
      </c>
      <c r="M31" s="33">
        <f>'Mar25'!P43</f>
        <v>0</v>
      </c>
      <c r="N31" s="25">
        <f t="shared" si="50"/>
        <v>79359.35252</v>
      </c>
      <c r="O31" s="33">
        <f>'Mar25'!R43</f>
        <v>520489.3475</v>
      </c>
      <c r="P31" s="33">
        <f>'Mar25'!S43</f>
        <v>0</v>
      </c>
      <c r="Q31" s="26">
        <f t="shared" si="51"/>
        <v>520489.3475</v>
      </c>
      <c r="R31" s="33">
        <f>'Mar25'!U43</f>
        <v>286269.1411</v>
      </c>
      <c r="S31" s="33">
        <f>'Mar25'!V43</f>
        <v>0</v>
      </c>
      <c r="T31" s="25">
        <f t="shared" si="52"/>
        <v>286269.1411</v>
      </c>
      <c r="U31" s="33">
        <f>'Mar25'!X43</f>
        <v>301335.938</v>
      </c>
      <c r="V31" s="33">
        <f>'Mar25'!Y43</f>
        <v>0</v>
      </c>
      <c r="W31" s="25">
        <f t="shared" si="53"/>
        <v>301335.938</v>
      </c>
      <c r="X31" s="33">
        <f>'Mar25'!AD43</f>
        <v>78243.70022</v>
      </c>
      <c r="Y31" s="33">
        <f>'Mar25'!AE43</f>
        <v>0</v>
      </c>
      <c r="Z31" s="25">
        <f t="shared" si="54"/>
        <v>78243.70022</v>
      </c>
      <c r="AA31" s="33">
        <f>'Mar25'!AJ43</f>
        <v>2780</v>
      </c>
      <c r="AB31" s="33">
        <f>'Mar25'!AK43</f>
        <v>0</v>
      </c>
      <c r="AC31" s="25">
        <f t="shared" si="55"/>
        <v>2780</v>
      </c>
    </row>
    <row r="32" ht="14.25" customHeight="1">
      <c r="B32" s="27" t="s">
        <v>19</v>
      </c>
      <c r="C32" s="28">
        <f t="shared" ref="C32:D32" si="56">SUM(C29:C31)</f>
        <v>65043</v>
      </c>
      <c r="D32" s="28">
        <f t="shared" si="56"/>
        <v>0</v>
      </c>
      <c r="E32" s="29">
        <f t="shared" si="47"/>
        <v>65043</v>
      </c>
      <c r="F32" s="30">
        <f t="shared" ref="F32:G32" si="57">SUM(F29:F31)</f>
        <v>1950743.7</v>
      </c>
      <c r="G32" s="30">
        <f t="shared" si="57"/>
        <v>0</v>
      </c>
      <c r="H32" s="29">
        <f t="shared" si="48"/>
        <v>1950743.7</v>
      </c>
      <c r="I32" s="30">
        <f t="shared" ref="I32:J32" si="58">SUM(I29:I31)</f>
        <v>1384530.7</v>
      </c>
      <c r="J32" s="30">
        <f t="shared" si="58"/>
        <v>0</v>
      </c>
      <c r="K32" s="29">
        <f t="shared" si="49"/>
        <v>1384530.7</v>
      </c>
      <c r="L32" s="31">
        <f t="shared" ref="L32:M32" si="59">SUM(L29:L31)</f>
        <v>176775.1799</v>
      </c>
      <c r="M32" s="31">
        <f t="shared" si="59"/>
        <v>0</v>
      </c>
      <c r="N32" s="29">
        <f t="shared" si="50"/>
        <v>176775.1799</v>
      </c>
      <c r="O32" s="31">
        <f t="shared" ref="O32:P32" si="60">SUM(O29:O31)</f>
        <v>1207755.52</v>
      </c>
      <c r="P32" s="31">
        <f t="shared" si="60"/>
        <v>0</v>
      </c>
      <c r="Q32" s="32">
        <f t="shared" si="51"/>
        <v>1207755.52</v>
      </c>
      <c r="R32" s="31">
        <f t="shared" ref="R32:S32" si="61">SUM(R29:R31)</f>
        <v>664265.5361</v>
      </c>
      <c r="S32" s="31">
        <f t="shared" si="61"/>
        <v>0</v>
      </c>
      <c r="T32" s="29">
        <f t="shared" si="52"/>
        <v>664265.5361</v>
      </c>
      <c r="U32" s="31">
        <f t="shared" ref="U32:V32" si="62">SUM(U29:U31)</f>
        <v>699226.8801</v>
      </c>
      <c r="V32" s="31">
        <f t="shared" si="62"/>
        <v>0</v>
      </c>
      <c r="W32" s="29">
        <f t="shared" si="53"/>
        <v>699226.8801</v>
      </c>
      <c r="X32" s="31">
        <f t="shared" ref="X32:Y32" si="63">SUM(X29:X31)</f>
        <v>183016.0936</v>
      </c>
      <c r="Y32" s="31">
        <f t="shared" si="63"/>
        <v>0</v>
      </c>
      <c r="Z32" s="29">
        <f t="shared" si="54"/>
        <v>183016.0936</v>
      </c>
      <c r="AA32" s="31">
        <f t="shared" ref="AA32:AB32" si="64">SUM(AA29:AA31)</f>
        <v>6535</v>
      </c>
      <c r="AB32" s="31">
        <f t="shared" si="64"/>
        <v>0</v>
      </c>
      <c r="AC32" s="29">
        <f t="shared" si="55"/>
        <v>6535</v>
      </c>
    </row>
    <row r="33">
      <c r="B33" s="23" t="s">
        <v>20</v>
      </c>
      <c r="C33" s="24">
        <f>'Apr25'!F42</f>
        <v>30280</v>
      </c>
      <c r="D33" s="24">
        <f>'Apr25'!G42</f>
        <v>0</v>
      </c>
      <c r="E33" s="25">
        <f t="shared" si="47"/>
        <v>30280</v>
      </c>
      <c r="F33" s="34">
        <f>'Apr25'!I42</f>
        <v>1011360</v>
      </c>
      <c r="G33" s="34">
        <f>'Apr25'!J42</f>
        <v>0</v>
      </c>
      <c r="H33" s="25">
        <f t="shared" si="48"/>
        <v>1011360</v>
      </c>
      <c r="I33" s="34">
        <f>'Apr25'!L42</f>
        <v>592910</v>
      </c>
      <c r="J33" s="34">
        <f>'Apr25'!M42</f>
        <v>0</v>
      </c>
      <c r="K33" s="25">
        <f t="shared" si="49"/>
        <v>592910</v>
      </c>
      <c r="L33" s="33">
        <f>'Apr25'!O42</f>
        <v>74256.11511</v>
      </c>
      <c r="M33" s="33">
        <f>'Apr25'!P42</f>
        <v>0</v>
      </c>
      <c r="N33" s="25">
        <f t="shared" si="50"/>
        <v>74256.11511</v>
      </c>
      <c r="O33" s="33">
        <f>'Apr25'!R42</f>
        <v>518653.8849</v>
      </c>
      <c r="P33" s="33">
        <f>'Apr25'!S42</f>
        <v>0</v>
      </c>
      <c r="Q33" s="26">
        <f t="shared" si="51"/>
        <v>518653.8849</v>
      </c>
      <c r="R33" s="33">
        <f>'Apr25'!U42</f>
        <v>285259.6367</v>
      </c>
      <c r="S33" s="33">
        <f>'Apr25'!V42</f>
        <v>0</v>
      </c>
      <c r="T33" s="25">
        <f t="shared" si="52"/>
        <v>285259.6367</v>
      </c>
      <c r="U33" s="33">
        <f>'Apr25'!X42</f>
        <v>300273.3018</v>
      </c>
      <c r="V33" s="33">
        <f>'Apr25'!Y42</f>
        <v>0</v>
      </c>
      <c r="W33" s="25">
        <f t="shared" si="53"/>
        <v>300273.3018</v>
      </c>
      <c r="X33" s="33">
        <f>'Apr25'!AD42</f>
        <v>78004.35399</v>
      </c>
      <c r="Y33" s="33">
        <f>'Apr25'!AE42</f>
        <v>0</v>
      </c>
      <c r="Z33" s="25">
        <f t="shared" si="54"/>
        <v>78004.35399</v>
      </c>
      <c r="AA33" s="33">
        <f>'Apr25'!AJ42</f>
        <v>2768</v>
      </c>
      <c r="AB33" s="33">
        <f>'Apr25'!AK42</f>
        <v>0</v>
      </c>
      <c r="AC33" s="25">
        <f t="shared" si="55"/>
        <v>2768</v>
      </c>
    </row>
    <row r="34" ht="14.25" customHeight="1">
      <c r="B34" s="23" t="s">
        <v>21</v>
      </c>
      <c r="C34" s="24">
        <f>'May25'!F43</f>
        <v>29279</v>
      </c>
      <c r="D34" s="24">
        <f>'May25'!G43</f>
        <v>0</v>
      </c>
      <c r="E34" s="25">
        <f t="shared" si="47"/>
        <v>29279</v>
      </c>
      <c r="F34" s="34">
        <f>'May25'!I43</f>
        <v>1024765</v>
      </c>
      <c r="G34" s="34">
        <f>'May25'!J43</f>
        <v>0</v>
      </c>
      <c r="H34" s="25">
        <f t="shared" si="48"/>
        <v>1024765</v>
      </c>
      <c r="I34" s="34">
        <f>'May25'!L43</f>
        <v>758860</v>
      </c>
      <c r="J34" s="34">
        <f>'May25'!M43</f>
        <v>0</v>
      </c>
      <c r="K34" s="25">
        <f t="shared" si="49"/>
        <v>758860</v>
      </c>
      <c r="L34" s="33">
        <f>'May25'!O43</f>
        <v>107080.9353</v>
      </c>
      <c r="M34" s="33">
        <f>'May25'!P43</f>
        <v>0</v>
      </c>
      <c r="N34" s="25">
        <f t="shared" si="50"/>
        <v>107080.9353</v>
      </c>
      <c r="O34" s="33">
        <f>'May25'!R43</f>
        <v>651779.0647</v>
      </c>
      <c r="P34" s="33">
        <f>'May25'!S43</f>
        <v>0</v>
      </c>
      <c r="Q34" s="26">
        <f t="shared" si="51"/>
        <v>651779.0647</v>
      </c>
      <c r="R34" s="33">
        <f>'May25'!U43</f>
        <v>358478.4856</v>
      </c>
      <c r="S34" s="33">
        <f>'May25'!V43</f>
        <v>0</v>
      </c>
      <c r="T34" s="25">
        <f t="shared" si="52"/>
        <v>358478.4856</v>
      </c>
      <c r="U34" s="33">
        <f>'Apr25'!X42</f>
        <v>300273.3018</v>
      </c>
      <c r="V34" s="33">
        <f>'Apr25'!Y42</f>
        <v>0</v>
      </c>
      <c r="W34" s="25">
        <f t="shared" si="53"/>
        <v>300273.3018</v>
      </c>
      <c r="X34" s="33">
        <f>'May25'!AD43</f>
        <v>155628.3921</v>
      </c>
      <c r="Y34" s="33">
        <f>'May25'!AE43</f>
        <v>0</v>
      </c>
      <c r="Z34" s="25">
        <f t="shared" si="54"/>
        <v>155628.3921</v>
      </c>
      <c r="AA34" s="33">
        <f>'May25'!AJ43</f>
        <v>5573</v>
      </c>
      <c r="AB34" s="33">
        <f>'May25'!AK43</f>
        <v>0</v>
      </c>
      <c r="AC34" s="25">
        <f t="shared" si="55"/>
        <v>5573</v>
      </c>
    </row>
    <row r="35" ht="14.25" customHeight="1">
      <c r="B35" s="23" t="s">
        <v>22</v>
      </c>
      <c r="C35" s="24">
        <f>'Jun25'!F42</f>
        <v>0</v>
      </c>
      <c r="D35" s="24">
        <f>'Jun25'!G42</f>
        <v>0</v>
      </c>
      <c r="E35" s="25">
        <f t="shared" si="47"/>
        <v>0</v>
      </c>
      <c r="F35" s="34">
        <f>'Jun25'!L42</f>
        <v>0</v>
      </c>
      <c r="G35" s="34">
        <f>'Jun25'!M42</f>
        <v>0</v>
      </c>
      <c r="H35" s="25">
        <f t="shared" si="48"/>
        <v>0</v>
      </c>
      <c r="I35" s="34">
        <f>'Jun25'!O42</f>
        <v>0</v>
      </c>
      <c r="J35" s="34">
        <f>'Jun25'!P42</f>
        <v>0</v>
      </c>
      <c r="K35" s="25">
        <f t="shared" si="49"/>
        <v>0</v>
      </c>
      <c r="L35" s="33">
        <f>'Jun25'!O42</f>
        <v>0</v>
      </c>
      <c r="M35" s="33">
        <f>'Jun25'!P42</f>
        <v>0</v>
      </c>
      <c r="N35" s="25">
        <f t="shared" si="50"/>
        <v>0</v>
      </c>
      <c r="O35" s="33">
        <f>'Jun25'!R42</f>
        <v>0</v>
      </c>
      <c r="P35" s="33">
        <f>'Jun25'!S42</f>
        <v>0</v>
      </c>
      <c r="Q35" s="26">
        <f t="shared" si="51"/>
        <v>0</v>
      </c>
      <c r="R35" s="33">
        <f>'Jun25'!R42</f>
        <v>0</v>
      </c>
      <c r="S35" s="33">
        <f>'Jun25'!S42</f>
        <v>0</v>
      </c>
      <c r="T35" s="25">
        <f t="shared" si="52"/>
        <v>0</v>
      </c>
      <c r="U35" s="33">
        <f>'Jun25'!U42</f>
        <v>0</v>
      </c>
      <c r="V35" s="33">
        <f>'Jun25'!V42</f>
        <v>0</v>
      </c>
      <c r="W35" s="25">
        <f t="shared" si="53"/>
        <v>0</v>
      </c>
      <c r="X35" s="33">
        <f>'Jun25'!AA42</f>
        <v>0</v>
      </c>
      <c r="Y35" s="33">
        <f>'Jun25'!AB42</f>
        <v>0</v>
      </c>
      <c r="Z35" s="25">
        <f t="shared" si="54"/>
        <v>0</v>
      </c>
      <c r="AA35" s="33">
        <f>'Jun25'!AG42</f>
        <v>0</v>
      </c>
      <c r="AB35" s="33">
        <f>'Jun25'!AH42</f>
        <v>0</v>
      </c>
      <c r="AC35" s="25">
        <f t="shared" si="55"/>
        <v>0</v>
      </c>
    </row>
    <row r="36" ht="14.25" customHeight="1">
      <c r="B36" s="27" t="s">
        <v>23</v>
      </c>
      <c r="C36" s="28">
        <f t="shared" ref="C36:D36" si="65">SUM(C33:C35)</f>
        <v>59559</v>
      </c>
      <c r="D36" s="28">
        <f t="shared" si="65"/>
        <v>0</v>
      </c>
      <c r="E36" s="29">
        <f t="shared" si="47"/>
        <v>59559</v>
      </c>
      <c r="F36" s="30">
        <f t="shared" ref="F36:G36" si="66">SUM(F33:F35)</f>
        <v>2036125</v>
      </c>
      <c r="G36" s="30">
        <f t="shared" si="66"/>
        <v>0</v>
      </c>
      <c r="H36" s="29">
        <f t="shared" si="48"/>
        <v>2036125</v>
      </c>
      <c r="I36" s="30">
        <f t="shared" ref="I36:J36" si="67">SUM(I33:I35)</f>
        <v>1351770</v>
      </c>
      <c r="J36" s="30">
        <f t="shared" si="67"/>
        <v>0</v>
      </c>
      <c r="K36" s="29">
        <f t="shared" si="49"/>
        <v>1351770</v>
      </c>
      <c r="L36" s="31">
        <f t="shared" ref="L36:M36" si="68">SUM(L33:L35)</f>
        <v>181337.0504</v>
      </c>
      <c r="M36" s="31">
        <f t="shared" si="68"/>
        <v>0</v>
      </c>
      <c r="N36" s="29">
        <f t="shared" si="50"/>
        <v>181337.0504</v>
      </c>
      <c r="O36" s="31">
        <f t="shared" ref="O36:P36" si="69">SUM(O33:O35)</f>
        <v>1170432.95</v>
      </c>
      <c r="P36" s="31">
        <f t="shared" si="69"/>
        <v>0</v>
      </c>
      <c r="Q36" s="32">
        <f t="shared" si="51"/>
        <v>1170432.95</v>
      </c>
      <c r="R36" s="31">
        <f t="shared" ref="R36:S36" si="70">SUM(R33:R35)</f>
        <v>643738.1223</v>
      </c>
      <c r="S36" s="31">
        <f t="shared" si="70"/>
        <v>0</v>
      </c>
      <c r="T36" s="29">
        <f t="shared" si="52"/>
        <v>643738.1223</v>
      </c>
      <c r="U36" s="31">
        <f t="shared" ref="U36:V36" si="71">SUM(U33:U35)</f>
        <v>600546.6036</v>
      </c>
      <c r="V36" s="31">
        <f t="shared" si="71"/>
        <v>0</v>
      </c>
      <c r="W36" s="29">
        <f t="shared" si="53"/>
        <v>600546.6036</v>
      </c>
      <c r="X36" s="31">
        <f t="shared" ref="X36:Y36" si="72">SUM(X33:X35)</f>
        <v>233632.7461</v>
      </c>
      <c r="Y36" s="31">
        <f t="shared" si="72"/>
        <v>0</v>
      </c>
      <c r="Z36" s="29">
        <f t="shared" si="54"/>
        <v>233632.7461</v>
      </c>
      <c r="AA36" s="31">
        <f t="shared" ref="AA36:AB36" si="73">SUM(AA33:AA35)</f>
        <v>8341</v>
      </c>
      <c r="AB36" s="31">
        <f t="shared" si="73"/>
        <v>0</v>
      </c>
      <c r="AC36" s="29">
        <f t="shared" si="55"/>
        <v>8341</v>
      </c>
    </row>
    <row r="37">
      <c r="B37" s="23" t="s">
        <v>24</v>
      </c>
      <c r="C37" s="24">
        <f>'Jul25'!F43</f>
        <v>0</v>
      </c>
      <c r="D37" s="24">
        <f>'Jul25'!G43</f>
        <v>0</v>
      </c>
      <c r="E37" s="25">
        <f t="shared" si="47"/>
        <v>0</v>
      </c>
      <c r="F37" s="34">
        <f>'Jul25'!L43</f>
        <v>0</v>
      </c>
      <c r="G37" s="34">
        <f>'Jul25'!M43</f>
        <v>0</v>
      </c>
      <c r="H37" s="25">
        <f t="shared" si="48"/>
        <v>0</v>
      </c>
      <c r="I37" s="34">
        <f>'Jul25'!O43</f>
        <v>0</v>
      </c>
      <c r="J37" s="34">
        <f>'Jul25'!P43</f>
        <v>0</v>
      </c>
      <c r="K37" s="25">
        <f t="shared" si="49"/>
        <v>0</v>
      </c>
      <c r="L37" s="33">
        <f>'Jul25'!O43</f>
        <v>0</v>
      </c>
      <c r="M37" s="33">
        <f>'Jul25'!P43</f>
        <v>0</v>
      </c>
      <c r="N37" s="25">
        <f t="shared" si="50"/>
        <v>0</v>
      </c>
      <c r="O37" s="33">
        <f>'Jul25'!R43</f>
        <v>0</v>
      </c>
      <c r="P37" s="33">
        <f>'Jul25'!S43</f>
        <v>0</v>
      </c>
      <c r="Q37" s="26">
        <f t="shared" si="51"/>
        <v>0</v>
      </c>
      <c r="R37" s="33">
        <f>'Jul25'!R43</f>
        <v>0</v>
      </c>
      <c r="S37" s="33">
        <f>'Jul25'!S43</f>
        <v>0</v>
      </c>
      <c r="T37" s="25">
        <f t="shared" si="52"/>
        <v>0</v>
      </c>
      <c r="U37" s="33">
        <f>'Jul25'!U43</f>
        <v>0</v>
      </c>
      <c r="V37" s="33">
        <f>'Jul25'!V43</f>
        <v>0</v>
      </c>
      <c r="W37" s="25">
        <f t="shared" si="53"/>
        <v>0</v>
      </c>
      <c r="X37" s="33">
        <f>'Jul25'!AA43</f>
        <v>0</v>
      </c>
      <c r="Y37" s="33">
        <f>'Jul25'!AB43</f>
        <v>0</v>
      </c>
      <c r="Z37" s="25">
        <f t="shared" si="54"/>
        <v>0</v>
      </c>
      <c r="AA37" s="33">
        <f>'Jul25'!AG43</f>
        <v>0</v>
      </c>
      <c r="AB37" s="33">
        <f>'Jul25'!AH43</f>
        <v>0</v>
      </c>
      <c r="AC37" s="25">
        <f t="shared" si="55"/>
        <v>0</v>
      </c>
    </row>
    <row r="38" ht="14.25" customHeight="1">
      <c r="B38" s="23" t="s">
        <v>25</v>
      </c>
      <c r="C38" s="24">
        <f>'Aug25'!F43</f>
        <v>0</v>
      </c>
      <c r="D38" s="24">
        <f>'Aug25'!G43</f>
        <v>0</v>
      </c>
      <c r="E38" s="25">
        <f t="shared" si="47"/>
        <v>0</v>
      </c>
      <c r="F38" s="34">
        <f>'Aug25'!L43</f>
        <v>0</v>
      </c>
      <c r="G38" s="34">
        <f>'Aug25'!M43</f>
        <v>0</v>
      </c>
      <c r="H38" s="25">
        <f t="shared" si="48"/>
        <v>0</v>
      </c>
      <c r="I38" s="34">
        <f>'Aug25'!O43</f>
        <v>0</v>
      </c>
      <c r="J38" s="34">
        <f>'Aug25'!P43</f>
        <v>0</v>
      </c>
      <c r="K38" s="25">
        <f t="shared" si="49"/>
        <v>0</v>
      </c>
      <c r="L38" s="33">
        <f>'Aug25'!O43</f>
        <v>0</v>
      </c>
      <c r="M38" s="33">
        <f>'Aug25'!P43</f>
        <v>0</v>
      </c>
      <c r="N38" s="25">
        <f t="shared" si="50"/>
        <v>0</v>
      </c>
      <c r="O38" s="33">
        <f>'Aug25'!R43</f>
        <v>0</v>
      </c>
      <c r="P38" s="33">
        <f>'Aug25'!S43</f>
        <v>0</v>
      </c>
      <c r="Q38" s="26">
        <f t="shared" si="51"/>
        <v>0</v>
      </c>
      <c r="R38" s="33">
        <f>'Aug25'!R43</f>
        <v>0</v>
      </c>
      <c r="S38" s="33">
        <f>'Aug25'!S43</f>
        <v>0</v>
      </c>
      <c r="T38" s="25">
        <f t="shared" si="52"/>
        <v>0</v>
      </c>
      <c r="U38" s="33">
        <f>'Aug25'!U43</f>
        <v>0</v>
      </c>
      <c r="V38" s="33">
        <f>'Aug25'!V43</f>
        <v>0</v>
      </c>
      <c r="W38" s="25">
        <f t="shared" si="53"/>
        <v>0</v>
      </c>
      <c r="X38" s="33">
        <f>'Aug25'!AA43</f>
        <v>0</v>
      </c>
      <c r="Y38" s="33">
        <f>'Aug25'!AB43</f>
        <v>0</v>
      </c>
      <c r="Z38" s="25">
        <f t="shared" si="54"/>
        <v>0</v>
      </c>
      <c r="AA38" s="33">
        <f>'Aug25'!AG43</f>
        <v>0</v>
      </c>
      <c r="AB38" s="33">
        <f>'Aug25'!AH43</f>
        <v>0</v>
      </c>
      <c r="AC38" s="25">
        <f t="shared" si="55"/>
        <v>0</v>
      </c>
    </row>
    <row r="39" ht="14.25" customHeight="1">
      <c r="B39" s="23" t="s">
        <v>26</v>
      </c>
      <c r="C39" s="24" t="str">
        <f>'Sep24'!E59</f>
        <v/>
      </c>
      <c r="D39" s="24" t="str">
        <f>'Sep24'!F59</f>
        <v/>
      </c>
      <c r="E39" s="25">
        <f t="shared" si="47"/>
        <v>0</v>
      </c>
      <c r="F39" s="34" t="str">
        <f>'Sep24'!K59</f>
        <v/>
      </c>
      <c r="G39" s="34" t="str">
        <f>'Sep24'!L59</f>
        <v/>
      </c>
      <c r="H39" s="25">
        <f t="shared" si="48"/>
        <v>0</v>
      </c>
      <c r="I39" s="34" t="str">
        <f>'Sep24'!N59</f>
        <v/>
      </c>
      <c r="J39" s="34" t="str">
        <f>'Sep24'!O59</f>
        <v/>
      </c>
      <c r="K39" s="25">
        <f t="shared" si="49"/>
        <v>0</v>
      </c>
      <c r="L39" s="33" t="str">
        <f>'Sep24'!N59</f>
        <v/>
      </c>
      <c r="M39" s="33" t="str">
        <f>'Sep24'!O59</f>
        <v/>
      </c>
      <c r="N39" s="25">
        <f t="shared" si="50"/>
        <v>0</v>
      </c>
      <c r="O39" s="33" t="str">
        <f>'Sep24'!Q59</f>
        <v/>
      </c>
      <c r="P39" s="33" t="str">
        <f>'Sep24'!R59</f>
        <v/>
      </c>
      <c r="Q39" s="26">
        <f t="shared" si="51"/>
        <v>0</v>
      </c>
      <c r="R39" s="33" t="str">
        <f>'Sep24'!Q59</f>
        <v/>
      </c>
      <c r="S39" s="33" t="str">
        <f>'Sep24'!R59</f>
        <v/>
      </c>
      <c r="T39" s="25">
        <f t="shared" si="52"/>
        <v>0</v>
      </c>
      <c r="U39" s="33" t="str">
        <f>'Sep24'!T59</f>
        <v/>
      </c>
      <c r="V39" s="33" t="str">
        <f>'Sep24'!U59</f>
        <v/>
      </c>
      <c r="W39" s="25">
        <f t="shared" si="53"/>
        <v>0</v>
      </c>
      <c r="X39" s="33" t="str">
        <f>'Sep24'!AC59</f>
        <v/>
      </c>
      <c r="Y39" s="33" t="str">
        <f>'Sep24'!AD59</f>
        <v/>
      </c>
      <c r="Z39" s="25">
        <f t="shared" si="54"/>
        <v>0</v>
      </c>
      <c r="AA39" s="33" t="str">
        <f>'Sep24'!AI59</f>
        <v/>
      </c>
      <c r="AB39" s="33" t="str">
        <f>'Sep24'!AJ59</f>
        <v/>
      </c>
      <c r="AC39" s="25">
        <f t="shared" si="55"/>
        <v>0</v>
      </c>
    </row>
    <row r="40" ht="14.25" customHeight="1">
      <c r="B40" s="27" t="s">
        <v>27</v>
      </c>
      <c r="C40" s="28">
        <f t="shared" ref="C40:D40" si="74">SUM(C39)</f>
        <v>0</v>
      </c>
      <c r="D40" s="28">
        <f t="shared" si="74"/>
        <v>0</v>
      </c>
      <c r="E40" s="29">
        <f t="shared" si="47"/>
        <v>0</v>
      </c>
      <c r="F40" s="30">
        <f t="shared" ref="F40:G40" si="75">SUM(F39)</f>
        <v>0</v>
      </c>
      <c r="G40" s="30">
        <f t="shared" si="75"/>
        <v>0</v>
      </c>
      <c r="H40" s="29">
        <f t="shared" si="48"/>
        <v>0</v>
      </c>
      <c r="I40" s="30">
        <f t="shared" ref="I40:J40" si="76">SUM(I39)</f>
        <v>0</v>
      </c>
      <c r="J40" s="30">
        <f t="shared" si="76"/>
        <v>0</v>
      </c>
      <c r="K40" s="29">
        <f t="shared" si="49"/>
        <v>0</v>
      </c>
      <c r="L40" s="31">
        <f t="shared" ref="L40:M40" si="77">SUM(L39)</f>
        <v>0</v>
      </c>
      <c r="M40" s="31">
        <f t="shared" si="77"/>
        <v>0</v>
      </c>
      <c r="N40" s="29">
        <f t="shared" si="50"/>
        <v>0</v>
      </c>
      <c r="O40" s="31">
        <f t="shared" ref="O40:P40" si="78">SUM(O39)</f>
        <v>0</v>
      </c>
      <c r="P40" s="31">
        <f t="shared" si="78"/>
        <v>0</v>
      </c>
      <c r="Q40" s="32">
        <f t="shared" si="51"/>
        <v>0</v>
      </c>
      <c r="R40" s="31">
        <f>SUM(R37:R39)</f>
        <v>0</v>
      </c>
      <c r="S40" s="31">
        <f>SUM(S39)</f>
        <v>0</v>
      </c>
      <c r="T40" s="29">
        <f t="shared" si="52"/>
        <v>0</v>
      </c>
      <c r="U40" s="31">
        <f t="shared" ref="U40:V40" si="79">SUM(U39)</f>
        <v>0</v>
      </c>
      <c r="V40" s="31">
        <f t="shared" si="79"/>
        <v>0</v>
      </c>
      <c r="W40" s="29">
        <f t="shared" si="53"/>
        <v>0</v>
      </c>
      <c r="X40" s="31">
        <f t="shared" ref="X40:Y40" si="80">SUM(X39)</f>
        <v>0</v>
      </c>
      <c r="Y40" s="31">
        <f t="shared" si="80"/>
        <v>0</v>
      </c>
      <c r="Z40" s="29">
        <f t="shared" si="54"/>
        <v>0</v>
      </c>
      <c r="AA40" s="31">
        <f t="shared" ref="AA40:AB40" si="81">SUM(AA39)</f>
        <v>0</v>
      </c>
      <c r="AB40" s="31">
        <f t="shared" si="81"/>
        <v>0</v>
      </c>
      <c r="AC40" s="25">
        <f t="shared" si="55"/>
        <v>0</v>
      </c>
    </row>
    <row r="41">
      <c r="B41" s="23" t="s">
        <v>28</v>
      </c>
      <c r="C41" s="24" t="str">
        <f>'Oct24'!E60</f>
        <v/>
      </c>
      <c r="D41" s="24" t="str">
        <f>'Oct24'!F60</f>
        <v/>
      </c>
      <c r="E41" s="25">
        <f t="shared" si="47"/>
        <v>0</v>
      </c>
      <c r="F41" s="34" t="str">
        <f>'Oct24'!K60</f>
        <v/>
      </c>
      <c r="G41" s="34" t="str">
        <f>'Oct24'!L60</f>
        <v/>
      </c>
      <c r="H41" s="25">
        <f t="shared" si="48"/>
        <v>0</v>
      </c>
      <c r="I41" s="34" t="str">
        <f>'Oct24'!N60</f>
        <v/>
      </c>
      <c r="J41" s="34" t="str">
        <f>'Oct24'!O60</f>
        <v/>
      </c>
      <c r="K41" s="25">
        <f t="shared" si="49"/>
        <v>0</v>
      </c>
      <c r="L41" s="33" t="str">
        <f>'Oct24'!N60</f>
        <v/>
      </c>
      <c r="M41" s="33" t="str">
        <f>'Oct24'!O60</f>
        <v/>
      </c>
      <c r="N41" s="25">
        <f t="shared" si="50"/>
        <v>0</v>
      </c>
      <c r="O41" s="33" t="str">
        <f>'Oct24'!Q60</f>
        <v/>
      </c>
      <c r="P41" s="33" t="str">
        <f>'Oct24'!R60</f>
        <v/>
      </c>
      <c r="Q41" s="26">
        <f t="shared" si="51"/>
        <v>0</v>
      </c>
      <c r="R41" s="33">
        <v>0.0</v>
      </c>
      <c r="S41" s="33">
        <v>0.0</v>
      </c>
      <c r="T41" s="25">
        <f t="shared" si="52"/>
        <v>0</v>
      </c>
      <c r="U41" s="33">
        <v>0.0</v>
      </c>
      <c r="V41" s="33">
        <v>0.0</v>
      </c>
      <c r="W41" s="25">
        <f t="shared" si="53"/>
        <v>0</v>
      </c>
      <c r="X41" s="33" t="str">
        <f>'Oct24'!AC60</f>
        <v/>
      </c>
      <c r="Y41" s="33" t="str">
        <f>'Oct24'!AD60</f>
        <v/>
      </c>
      <c r="Z41" s="25">
        <f t="shared" si="54"/>
        <v>0</v>
      </c>
      <c r="AA41" s="33" t="str">
        <f>'Oct24'!AI60</f>
        <v/>
      </c>
      <c r="AB41" s="33" t="str">
        <f>'Oct24'!AJ60</f>
        <v/>
      </c>
      <c r="AC41" s="25">
        <f t="shared" si="55"/>
        <v>0</v>
      </c>
    </row>
    <row r="42" ht="14.25" customHeight="1">
      <c r="B42" s="23" t="s">
        <v>29</v>
      </c>
      <c r="C42" s="24" t="str">
        <f>'Nov24'!E59</f>
        <v/>
      </c>
      <c r="D42" s="24" t="str">
        <f>'Nov24'!F59</f>
        <v/>
      </c>
      <c r="E42" s="25">
        <f t="shared" si="47"/>
        <v>0</v>
      </c>
      <c r="F42" s="34" t="str">
        <f>'Nov24'!K59</f>
        <v/>
      </c>
      <c r="G42" s="34" t="str">
        <f>'Nov24'!L59</f>
        <v/>
      </c>
      <c r="H42" s="25">
        <f t="shared" si="48"/>
        <v>0</v>
      </c>
      <c r="I42" s="34" t="str">
        <f>'Nov24'!N59</f>
        <v/>
      </c>
      <c r="J42" s="34" t="str">
        <f>'Nov24'!O59</f>
        <v/>
      </c>
      <c r="K42" s="25">
        <f t="shared" si="49"/>
        <v>0</v>
      </c>
      <c r="L42" s="33" t="str">
        <f>'Nov24'!N59</f>
        <v/>
      </c>
      <c r="M42" s="33" t="str">
        <f>'Nov24'!O59</f>
        <v/>
      </c>
      <c r="N42" s="25">
        <f t="shared" si="50"/>
        <v>0</v>
      </c>
      <c r="O42" s="33" t="str">
        <f>'Nov24'!Q59</f>
        <v/>
      </c>
      <c r="P42" s="33" t="str">
        <f>'Nov24'!R59</f>
        <v/>
      </c>
      <c r="Q42" s="26">
        <f t="shared" si="51"/>
        <v>0</v>
      </c>
      <c r="R42" s="33">
        <v>0.0</v>
      </c>
      <c r="S42" s="33">
        <v>0.0</v>
      </c>
      <c r="T42" s="25">
        <f t="shared" si="52"/>
        <v>0</v>
      </c>
      <c r="U42" s="33">
        <v>0.0</v>
      </c>
      <c r="V42" s="33">
        <v>0.0</v>
      </c>
      <c r="W42" s="25">
        <f t="shared" si="53"/>
        <v>0</v>
      </c>
      <c r="X42" s="33" t="str">
        <f>'Nov24'!AC59</f>
        <v/>
      </c>
      <c r="Y42" s="33" t="str">
        <f>'Nov24'!AD59</f>
        <v/>
      </c>
      <c r="Z42" s="25">
        <f t="shared" si="54"/>
        <v>0</v>
      </c>
      <c r="AA42" s="33" t="str">
        <f>'Nov24'!AI59</f>
        <v/>
      </c>
      <c r="AB42" s="33" t="str">
        <f>'Nov24'!AJ59</f>
        <v/>
      </c>
      <c r="AC42" s="25">
        <f t="shared" si="55"/>
        <v>0</v>
      </c>
    </row>
    <row r="43" ht="14.25" customHeight="1">
      <c r="B43" s="23" t="s">
        <v>30</v>
      </c>
      <c r="C43" s="24" t="str">
        <f>'Dec24'!F60</f>
        <v/>
      </c>
      <c r="D43" s="24" t="str">
        <f>'Dec24'!G60</f>
        <v/>
      </c>
      <c r="E43" s="25">
        <f t="shared" si="47"/>
        <v>0</v>
      </c>
      <c r="F43" s="34" t="str">
        <f>'Dec24'!L60</f>
        <v/>
      </c>
      <c r="G43" s="34" t="str">
        <f>'Dec24'!M60</f>
        <v/>
      </c>
      <c r="H43" s="25">
        <f t="shared" si="48"/>
        <v>0</v>
      </c>
      <c r="I43" s="34" t="str">
        <f>'Dec24'!O60</f>
        <v/>
      </c>
      <c r="J43" s="34" t="str">
        <f>'Dec24'!P60</f>
        <v/>
      </c>
      <c r="K43" s="25">
        <f t="shared" si="49"/>
        <v>0</v>
      </c>
      <c r="L43" s="33" t="str">
        <f>'Dec24'!O60</f>
        <v/>
      </c>
      <c r="M43" s="33" t="str">
        <f>'Dec24'!P60</f>
        <v/>
      </c>
      <c r="N43" s="25">
        <f t="shared" si="50"/>
        <v>0</v>
      </c>
      <c r="O43" s="33" t="str">
        <f>'Dec24'!R60</f>
        <v/>
      </c>
      <c r="P43" s="33" t="str">
        <f>'Dec24'!S60</f>
        <v/>
      </c>
      <c r="Q43" s="26">
        <f t="shared" si="51"/>
        <v>0</v>
      </c>
      <c r="R43" s="33">
        <v>0.0</v>
      </c>
      <c r="S43" s="33">
        <v>0.0</v>
      </c>
      <c r="T43" s="25">
        <f t="shared" si="52"/>
        <v>0</v>
      </c>
      <c r="U43" s="33">
        <v>0.0</v>
      </c>
      <c r="V43" s="33">
        <v>0.0</v>
      </c>
      <c r="W43" s="25">
        <f t="shared" si="53"/>
        <v>0</v>
      </c>
      <c r="X43" s="33" t="str">
        <f>'Dec24'!AD60</f>
        <v/>
      </c>
      <c r="Y43" s="33" t="str">
        <f>'Dec24'!AE60</f>
        <v/>
      </c>
      <c r="Z43" s="25">
        <f t="shared" si="54"/>
        <v>0</v>
      </c>
      <c r="AA43" s="33" t="str">
        <f>'Dec24'!AJ60</f>
        <v/>
      </c>
      <c r="AB43" s="33" t="str">
        <f>'Dec24'!AK60</f>
        <v/>
      </c>
      <c r="AC43" s="25">
        <f t="shared" si="55"/>
        <v>0</v>
      </c>
    </row>
    <row r="44" ht="14.25" customHeight="1">
      <c r="B44" s="27" t="s">
        <v>31</v>
      </c>
      <c r="C44" s="28">
        <f t="shared" ref="C44:D44" si="82">SUM(C41:C43)</f>
        <v>0</v>
      </c>
      <c r="D44" s="28">
        <f t="shared" si="82"/>
        <v>0</v>
      </c>
      <c r="E44" s="29">
        <f t="shared" si="47"/>
        <v>0</v>
      </c>
      <c r="F44" s="30">
        <f t="shared" ref="F44:G44" si="83">SUM(F41:F43)</f>
        <v>0</v>
      </c>
      <c r="G44" s="30">
        <f t="shared" si="83"/>
        <v>0</v>
      </c>
      <c r="H44" s="29">
        <f t="shared" si="48"/>
        <v>0</v>
      </c>
      <c r="I44" s="30">
        <f t="shared" ref="I44:J44" si="84">SUM(I41:I43)</f>
        <v>0</v>
      </c>
      <c r="J44" s="30">
        <f t="shared" si="84"/>
        <v>0</v>
      </c>
      <c r="K44" s="29">
        <f t="shared" si="49"/>
        <v>0</v>
      </c>
      <c r="L44" s="31">
        <f t="shared" ref="L44:M44" si="85">SUM(L41:L43)</f>
        <v>0</v>
      </c>
      <c r="M44" s="31">
        <f t="shared" si="85"/>
        <v>0</v>
      </c>
      <c r="N44" s="29">
        <f t="shared" si="50"/>
        <v>0</v>
      </c>
      <c r="O44" s="31">
        <f t="shared" ref="O44:P44" si="86">SUM(O41:O43)</f>
        <v>0</v>
      </c>
      <c r="P44" s="31">
        <f t="shared" si="86"/>
        <v>0</v>
      </c>
      <c r="Q44" s="32">
        <f t="shared" si="51"/>
        <v>0</v>
      </c>
      <c r="R44" s="31">
        <f t="shared" ref="R44:S44" si="87">SUM(R41:R43)</f>
        <v>0</v>
      </c>
      <c r="S44" s="31">
        <f t="shared" si="87"/>
        <v>0</v>
      </c>
      <c r="T44" s="29">
        <f t="shared" si="52"/>
        <v>0</v>
      </c>
      <c r="U44" s="31">
        <f t="shared" ref="U44:V44" si="88">SUM(U41:U43)</f>
        <v>0</v>
      </c>
      <c r="V44" s="31">
        <f t="shared" si="88"/>
        <v>0</v>
      </c>
      <c r="W44" s="29">
        <f t="shared" si="53"/>
        <v>0</v>
      </c>
      <c r="X44" s="31">
        <f t="shared" ref="X44:Y44" si="89">SUM(X41:X43)</f>
        <v>0</v>
      </c>
      <c r="Y44" s="31">
        <f t="shared" si="89"/>
        <v>0</v>
      </c>
      <c r="Z44" s="29">
        <f t="shared" si="54"/>
        <v>0</v>
      </c>
      <c r="AA44" s="31">
        <f t="shared" ref="AA44:AB44" si="90">SUM(AA41:AA43)</f>
        <v>0</v>
      </c>
      <c r="AB44" s="31">
        <f t="shared" si="90"/>
        <v>0</v>
      </c>
      <c r="AC44" s="29">
        <f t="shared" si="55"/>
        <v>0</v>
      </c>
    </row>
    <row r="45">
      <c r="B45" s="39" t="s">
        <v>33</v>
      </c>
      <c r="C45" s="40">
        <f t="shared" ref="C45:AC45" si="91">C32+C36+C40+C44</f>
        <v>124602</v>
      </c>
      <c r="D45" s="40">
        <f t="shared" si="91"/>
        <v>0</v>
      </c>
      <c r="E45" s="40">
        <f t="shared" si="91"/>
        <v>124602</v>
      </c>
      <c r="F45" s="40">
        <f t="shared" si="91"/>
        <v>3986868.7</v>
      </c>
      <c r="G45" s="40">
        <f t="shared" si="91"/>
        <v>0</v>
      </c>
      <c r="H45" s="40">
        <f t="shared" si="91"/>
        <v>3986868.7</v>
      </c>
      <c r="I45" s="40">
        <f t="shared" si="91"/>
        <v>2736300.7</v>
      </c>
      <c r="J45" s="40">
        <f t="shared" si="91"/>
        <v>0</v>
      </c>
      <c r="K45" s="40">
        <f t="shared" si="91"/>
        <v>2736300.7</v>
      </c>
      <c r="L45" s="40">
        <f t="shared" si="91"/>
        <v>358112.2302</v>
      </c>
      <c r="M45" s="40">
        <f t="shared" si="91"/>
        <v>0</v>
      </c>
      <c r="N45" s="40">
        <f t="shared" si="91"/>
        <v>358112.2302</v>
      </c>
      <c r="O45" s="40">
        <f t="shared" si="91"/>
        <v>2378188.47</v>
      </c>
      <c r="P45" s="40">
        <f t="shared" si="91"/>
        <v>0</v>
      </c>
      <c r="Q45" s="40">
        <f t="shared" si="91"/>
        <v>2378188.47</v>
      </c>
      <c r="R45" s="40">
        <f t="shared" si="91"/>
        <v>1308003.658</v>
      </c>
      <c r="S45" s="40">
        <f t="shared" si="91"/>
        <v>0</v>
      </c>
      <c r="T45" s="40">
        <f t="shared" si="91"/>
        <v>1308003.658</v>
      </c>
      <c r="U45" s="40">
        <f t="shared" si="91"/>
        <v>1299773.484</v>
      </c>
      <c r="V45" s="40">
        <f t="shared" si="91"/>
        <v>0</v>
      </c>
      <c r="W45" s="40">
        <f t="shared" si="91"/>
        <v>1299773.484</v>
      </c>
      <c r="X45" s="40">
        <f t="shared" si="91"/>
        <v>416648.8397</v>
      </c>
      <c r="Y45" s="40">
        <f t="shared" si="91"/>
        <v>0</v>
      </c>
      <c r="Z45" s="40">
        <f t="shared" si="91"/>
        <v>416648.8397</v>
      </c>
      <c r="AA45" s="40">
        <f t="shared" si="91"/>
        <v>14876</v>
      </c>
      <c r="AB45" s="40">
        <f t="shared" si="91"/>
        <v>0</v>
      </c>
      <c r="AC45" s="40">
        <f t="shared" si="91"/>
        <v>14876</v>
      </c>
      <c r="AE45" s="35">
        <f>Z45/W45*100</f>
        <v>32.0554962</v>
      </c>
    </row>
    <row r="46">
      <c r="B46" s="41" t="s">
        <v>34</v>
      </c>
      <c r="C46" s="42">
        <f t="shared" ref="C46:AC46" si="92">SUM(C27,C45)</f>
        <v>217643</v>
      </c>
      <c r="D46" s="42">
        <f t="shared" si="92"/>
        <v>25023</v>
      </c>
      <c r="E46" s="42">
        <f t="shared" si="92"/>
        <v>242666</v>
      </c>
      <c r="F46" s="42">
        <f t="shared" si="92"/>
        <v>6447196.7</v>
      </c>
      <c r="G46" s="42">
        <f t="shared" si="92"/>
        <v>875805</v>
      </c>
      <c r="H46" s="42">
        <f t="shared" si="92"/>
        <v>7323001.7</v>
      </c>
      <c r="I46" s="42">
        <f t="shared" si="92"/>
        <v>5059485.7</v>
      </c>
      <c r="J46" s="42">
        <f t="shared" si="92"/>
        <v>509984</v>
      </c>
      <c r="K46" s="42">
        <f t="shared" si="92"/>
        <v>5569469.7</v>
      </c>
      <c r="L46" s="42">
        <f t="shared" si="92"/>
        <v>643627.3381</v>
      </c>
      <c r="M46" s="42">
        <f t="shared" si="92"/>
        <v>80688.84892</v>
      </c>
      <c r="N46" s="42">
        <f t="shared" si="92"/>
        <v>724316.1871</v>
      </c>
      <c r="O46" s="42">
        <f t="shared" si="92"/>
        <v>4281757.362</v>
      </c>
      <c r="P46" s="42">
        <f t="shared" si="92"/>
        <v>429295.1511</v>
      </c>
      <c r="Q46" s="42">
        <f t="shared" si="92"/>
        <v>4711052.513</v>
      </c>
      <c r="R46" s="42">
        <f t="shared" si="92"/>
        <v>2354966.549</v>
      </c>
      <c r="S46" s="42">
        <f t="shared" si="92"/>
        <v>236112.3331</v>
      </c>
      <c r="T46" s="42">
        <f t="shared" si="92"/>
        <v>2591078.882</v>
      </c>
      <c r="U46" s="42">
        <f t="shared" si="92"/>
        <v>2401839.684</v>
      </c>
      <c r="V46" s="42">
        <f t="shared" si="92"/>
        <v>248539.298</v>
      </c>
      <c r="W46" s="42">
        <f t="shared" si="92"/>
        <v>2650378.982</v>
      </c>
      <c r="X46" s="42">
        <f t="shared" si="92"/>
        <v>990858.8661</v>
      </c>
      <c r="Y46" s="42">
        <f t="shared" si="92"/>
        <v>224124.3716</v>
      </c>
      <c r="Z46" s="42">
        <f t="shared" si="92"/>
        <v>1214983.238</v>
      </c>
      <c r="AA46" s="42">
        <f t="shared" si="92"/>
        <v>35266</v>
      </c>
      <c r="AB46" s="42">
        <f t="shared" si="92"/>
        <v>8081.057001</v>
      </c>
      <c r="AC46" s="42">
        <f t="shared" si="92"/>
        <v>43347.057</v>
      </c>
    </row>
    <row r="47" ht="15.0" customHeight="1">
      <c r="B47" s="43" t="s">
        <v>35</v>
      </c>
      <c r="C47" s="44">
        <f>C46</f>
        <v>217643</v>
      </c>
      <c r="D47" s="44" t="s">
        <v>36</v>
      </c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>
        <f>O46*1.25/1000</f>
        <v>5352.196702</v>
      </c>
      <c r="P47" s="47" t="s">
        <v>36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>
        <f>AA46/52</f>
        <v>678.1923077</v>
      </c>
      <c r="AB47" s="49" t="s">
        <v>36</v>
      </c>
      <c r="AC47" s="45"/>
    </row>
    <row r="48">
      <c r="B48" s="49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50"/>
      <c r="Q48" s="46"/>
      <c r="R48" s="46"/>
      <c r="S48" s="46"/>
      <c r="T48" s="46"/>
      <c r="U48" s="46"/>
      <c r="V48" s="46"/>
      <c r="W48" s="46"/>
      <c r="X48" s="46"/>
      <c r="Y48" s="46"/>
      <c r="Z48" s="46"/>
      <c r="AC48" s="46"/>
    </row>
    <row r="49">
      <c r="B49" s="49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P49" s="51"/>
      <c r="Q49" s="46"/>
      <c r="R49" s="46"/>
      <c r="S49" s="46"/>
      <c r="T49" s="46"/>
      <c r="U49" s="46"/>
      <c r="V49" s="46"/>
      <c r="W49" s="46"/>
      <c r="X49" s="46"/>
      <c r="Y49" s="46"/>
      <c r="Z49" s="46"/>
      <c r="AB49" s="46"/>
      <c r="AC49" s="46"/>
    </row>
    <row r="50">
      <c r="B50" s="49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B51" s="49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B52" s="49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4" ht="14.25" customHeight="1"/>
    <row r="55" ht="14.25" customHeight="1">
      <c r="B55" s="52"/>
      <c r="C55" s="52"/>
      <c r="D55" s="52"/>
      <c r="E55" s="52"/>
      <c r="M55" s="52"/>
      <c r="N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</row>
    <row r="56" ht="14.2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</row>
    <row r="57" ht="18.0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</row>
    <row r="58" ht="14.2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</row>
    <row r="59" ht="14.2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</row>
    <row r="60" ht="18.0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</row>
    <row r="61" ht="14.2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</row>
    <row r="62" ht="14.2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</row>
    <row r="63" ht="14.2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</row>
    <row r="64" ht="14.2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</row>
    <row r="65" ht="14.2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</row>
    <row r="66" ht="14.2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</row>
    <row r="67" ht="14.2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</row>
    <row r="68" ht="14.2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</row>
    <row r="69" ht="14.25" customHeight="1">
      <c r="B69" s="53"/>
    </row>
    <row r="70" ht="14.25" customHeight="1"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</row>
    <row r="71" ht="14.25" customHeight="1"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</row>
    <row r="72" ht="14.25" customHeight="1"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</row>
    <row r="73" ht="14.25" customHeight="1"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</row>
    <row r="74" ht="14.25" customHeight="1"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</row>
    <row r="75" ht="14.25" customHeight="1"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</row>
    <row r="76" ht="14.25" customHeight="1"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</row>
    <row r="77" ht="14.25" customHeight="1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</row>
    <row r="78" ht="14.25" customHeight="1"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</row>
    <row r="79" ht="14.25" customHeight="1">
      <c r="B79" s="53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</row>
    <row r="80" ht="14.25" customHeight="1">
      <c r="B80" s="53"/>
    </row>
    <row r="81" ht="14.25" customHeight="1">
      <c r="B81" s="53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</sheetData>
  <mergeCells count="10">
    <mergeCell ref="U5:W9"/>
    <mergeCell ref="X5:Z9"/>
    <mergeCell ref="AA5:AC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A1" s="55" t="s">
        <v>37</v>
      </c>
      <c r="C1" s="56"/>
      <c r="D1" s="56"/>
      <c r="E1" s="56"/>
      <c r="F1" s="56"/>
      <c r="G1" s="56"/>
      <c r="H1" s="56"/>
      <c r="I1" s="56" t="s">
        <v>38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>
      <c r="B5" s="4" t="s">
        <v>42</v>
      </c>
      <c r="C5" s="60" t="s">
        <v>43</v>
      </c>
      <c r="D5" s="6"/>
      <c r="E5" s="7"/>
      <c r="F5" s="61" t="s">
        <v>4</v>
      </c>
      <c r="G5" s="6"/>
      <c r="H5" s="7"/>
      <c r="I5" s="60" t="s">
        <v>5</v>
      </c>
      <c r="J5" s="6"/>
      <c r="K5" s="7"/>
      <c r="L5" s="61" t="s">
        <v>6</v>
      </c>
      <c r="M5" s="6"/>
      <c r="N5" s="7"/>
      <c r="O5" s="61" t="s">
        <v>7</v>
      </c>
      <c r="P5" s="6"/>
      <c r="Q5" s="7"/>
      <c r="R5" s="61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1" t="s">
        <v>46</v>
      </c>
      <c r="AB5" s="6"/>
      <c r="AC5" s="7"/>
      <c r="AD5" s="61" t="s">
        <v>11</v>
      </c>
      <c r="AE5" s="6"/>
      <c r="AF5" s="7"/>
      <c r="AG5" s="61" t="s">
        <v>47</v>
      </c>
      <c r="AH5" s="6"/>
      <c r="AI5" s="7"/>
      <c r="AJ5" s="61" t="s">
        <v>12</v>
      </c>
      <c r="AK5" s="6"/>
      <c r="AL5" s="7"/>
      <c r="AM5" s="62"/>
    </row>
    <row r="6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45535.0</v>
      </c>
      <c r="C11" s="67">
        <v>0.0</v>
      </c>
      <c r="D11" s="67">
        <v>45868.0</v>
      </c>
      <c r="E11" s="68">
        <f t="shared" ref="E11:E41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1" si="3">SUM(L11+M11)</f>
        <v>0</v>
      </c>
      <c r="O11" s="68"/>
      <c r="P11" s="68"/>
      <c r="Q11" s="68">
        <f t="shared" ref="Q11:Q41" si="4">SUM(O11+P11)</f>
        <v>0</v>
      </c>
      <c r="R11" s="68"/>
      <c r="S11" s="68"/>
      <c r="T11" s="68">
        <f t="shared" ref="T11:T41" si="6">SUM(R11+S11)</f>
        <v>0</v>
      </c>
      <c r="U11" s="68"/>
      <c r="V11" s="68"/>
      <c r="W11" s="68">
        <f t="shared" ref="W11:W41" si="8">SUM(U11+V11)</f>
        <v>0</v>
      </c>
      <c r="X11" s="68"/>
      <c r="Y11" s="68"/>
      <c r="Z11" s="68">
        <f t="shared" ref="Z11:Z41" si="10">SUM(X11+Y11)</f>
        <v>0</v>
      </c>
      <c r="AA11" s="68"/>
      <c r="AB11" s="68"/>
      <c r="AC11" s="68">
        <f t="shared" ref="AC11:AC41" si="11">SUM(AA11+AB11)</f>
        <v>0</v>
      </c>
      <c r="AD11" s="68"/>
      <c r="AE11" s="68"/>
      <c r="AF11" s="68">
        <f t="shared" ref="AF11:AF41" si="13">SUM(AD11+AE11)</f>
        <v>0</v>
      </c>
      <c r="AG11" s="68"/>
      <c r="AH11" s="68"/>
      <c r="AI11" s="68">
        <f t="shared" ref="AI11:AI41" si="14">SUM(AG11+AH11)</f>
        <v>0</v>
      </c>
      <c r="AJ11" s="68"/>
      <c r="AK11" s="68"/>
      <c r="AL11" s="68">
        <f t="shared" ref="AL11:AL41" si="16">SUM(AJ11+AK11)</f>
        <v>0</v>
      </c>
    </row>
    <row r="12" ht="18.0" customHeight="1">
      <c r="B12" s="69">
        <v>45536.0</v>
      </c>
      <c r="C12" s="70"/>
      <c r="D12" s="70"/>
      <c r="E12" s="68">
        <f t="shared" si="1"/>
        <v>0</v>
      </c>
      <c r="F12" s="71">
        <v>0.0</v>
      </c>
      <c r="G12" s="72">
        <v>268.0</v>
      </c>
      <c r="H12" s="68">
        <f t="shared" ref="H12:H41" si="17">SUM(F12+G12)</f>
        <v>268</v>
      </c>
      <c r="I12" s="73">
        <f t="shared" ref="I12:J12" si="2">F12*55000*0.35/1000/0.55</f>
        <v>0</v>
      </c>
      <c r="J12" s="73">
        <f t="shared" si="2"/>
        <v>9380</v>
      </c>
      <c r="K12" s="68">
        <f t="shared" ref="K12:K41" si="19">J12+I12</f>
        <v>9380</v>
      </c>
      <c r="L12" s="71">
        <v>0.0</v>
      </c>
      <c r="M12" s="71">
        <v>16259.0</v>
      </c>
      <c r="N12" s="68">
        <f t="shared" si="3"/>
        <v>16259</v>
      </c>
      <c r="O12" s="71">
        <v>0.0</v>
      </c>
      <c r="P12" s="71">
        <v>2398.561151079137</v>
      </c>
      <c r="Q12" s="68">
        <f t="shared" si="4"/>
        <v>2398.561151</v>
      </c>
      <c r="R12" s="71">
        <f t="shared" ref="R12:S12" si="5">L12-O12</f>
        <v>0</v>
      </c>
      <c r="S12" s="71">
        <f t="shared" si="5"/>
        <v>13860.43885</v>
      </c>
      <c r="T12" s="68">
        <f t="shared" si="6"/>
        <v>13860.43885</v>
      </c>
      <c r="U12" s="71">
        <f t="shared" ref="U12:V12" si="7">R12*0.55</f>
        <v>0</v>
      </c>
      <c r="V12" s="71">
        <f t="shared" si="7"/>
        <v>7623.241367</v>
      </c>
      <c r="W12" s="68">
        <f t="shared" si="8"/>
        <v>7623.241367</v>
      </c>
      <c r="X12" s="71">
        <f t="shared" ref="X12:Y12" si="9">U12/0.95</f>
        <v>0</v>
      </c>
      <c r="Y12" s="71">
        <f t="shared" si="9"/>
        <v>8024.464597</v>
      </c>
      <c r="Z12" s="68">
        <f t="shared" si="10"/>
        <v>8024.464597</v>
      </c>
      <c r="AA12" s="71">
        <v>0.0</v>
      </c>
      <c r="AB12" s="71">
        <v>8963.9648</v>
      </c>
      <c r="AC12" s="68">
        <f t="shared" si="11"/>
        <v>8963.9648</v>
      </c>
      <c r="AD12" s="71">
        <f t="shared" ref="AD12:AE12" si="12">AA12*0.95</f>
        <v>0</v>
      </c>
      <c r="AE12" s="71">
        <f t="shared" si="12"/>
        <v>8515.76656</v>
      </c>
      <c r="AF12" s="68">
        <f t="shared" si="13"/>
        <v>8515.76656</v>
      </c>
      <c r="AG12" s="71">
        <v>0.0</v>
      </c>
      <c r="AH12" s="71">
        <v>324.0</v>
      </c>
      <c r="AI12" s="68">
        <f t="shared" si="14"/>
        <v>324</v>
      </c>
      <c r="AJ12" s="71">
        <f t="shared" ref="AJ12:AK12" si="15">AG12/1.05506</f>
        <v>0</v>
      </c>
      <c r="AK12" s="71">
        <f t="shared" si="15"/>
        <v>307.0915398</v>
      </c>
      <c r="AL12" s="68">
        <f t="shared" si="16"/>
        <v>307.0915398</v>
      </c>
    </row>
    <row r="13" ht="14.25" customHeight="1">
      <c r="B13" s="69">
        <v>45537.0</v>
      </c>
      <c r="C13" s="70"/>
      <c r="D13" s="70"/>
      <c r="E13" s="68">
        <f t="shared" si="1"/>
        <v>0</v>
      </c>
      <c r="F13" s="71">
        <v>0.0</v>
      </c>
      <c r="G13" s="72">
        <v>530.0</v>
      </c>
      <c r="H13" s="68">
        <f t="shared" si="17"/>
        <v>530</v>
      </c>
      <c r="I13" s="73">
        <f t="shared" ref="I13:J13" si="18">F13*55000*0.35/1000/0.55</f>
        <v>0</v>
      </c>
      <c r="J13" s="73">
        <f t="shared" si="18"/>
        <v>18550</v>
      </c>
      <c r="K13" s="68">
        <f t="shared" si="19"/>
        <v>18550</v>
      </c>
      <c r="L13" s="71">
        <v>0.0</v>
      </c>
      <c r="M13" s="71">
        <v>20759.0</v>
      </c>
      <c r="N13" s="68">
        <f t="shared" si="3"/>
        <v>20759</v>
      </c>
      <c r="O13" s="71">
        <v>0.0</v>
      </c>
      <c r="P13" s="71">
        <v>3996.0431654676263</v>
      </c>
      <c r="Q13" s="68">
        <f t="shared" si="4"/>
        <v>3996.043165</v>
      </c>
      <c r="R13" s="71">
        <f t="shared" ref="R13:S13" si="20">L13-O13</f>
        <v>0</v>
      </c>
      <c r="S13" s="71">
        <f t="shared" si="20"/>
        <v>16762.95683</v>
      </c>
      <c r="T13" s="68">
        <f t="shared" si="6"/>
        <v>16762.95683</v>
      </c>
      <c r="U13" s="71">
        <f t="shared" ref="U13:V13" si="21">R13*0.55</f>
        <v>0</v>
      </c>
      <c r="V13" s="71">
        <f t="shared" si="21"/>
        <v>9219.626259</v>
      </c>
      <c r="W13" s="68">
        <f t="shared" si="8"/>
        <v>9219.626259</v>
      </c>
      <c r="X13" s="71">
        <f t="shared" ref="X13:Y13" si="22">U13/0.95</f>
        <v>0</v>
      </c>
      <c r="Y13" s="71">
        <f t="shared" si="22"/>
        <v>9704.869746</v>
      </c>
      <c r="Z13" s="68">
        <f t="shared" si="10"/>
        <v>9704.869746</v>
      </c>
      <c r="AA13" s="71">
        <v>0.0</v>
      </c>
      <c r="AB13" s="71">
        <v>10590.438</v>
      </c>
      <c r="AC13" s="68">
        <f t="shared" si="11"/>
        <v>10590.438</v>
      </c>
      <c r="AD13" s="71">
        <f t="shared" ref="AD13:AE13" si="23">AA13*0.95</f>
        <v>0</v>
      </c>
      <c r="AE13" s="71">
        <f t="shared" si="23"/>
        <v>10060.9161</v>
      </c>
      <c r="AF13" s="68">
        <f t="shared" si="13"/>
        <v>10060.9161</v>
      </c>
      <c r="AG13" s="71">
        <v>0.0</v>
      </c>
      <c r="AH13" s="71">
        <v>381.0</v>
      </c>
      <c r="AI13" s="68">
        <f t="shared" si="14"/>
        <v>381</v>
      </c>
      <c r="AJ13" s="71">
        <f t="shared" ref="AJ13:AK13" si="24">AG13/1.05506</f>
        <v>0</v>
      </c>
      <c r="AK13" s="71">
        <f t="shared" si="24"/>
        <v>361.1169033</v>
      </c>
      <c r="AL13" s="68">
        <f t="shared" si="16"/>
        <v>361.1169033</v>
      </c>
    </row>
    <row r="14" ht="14.25" customHeight="1">
      <c r="B14" s="69">
        <v>45538.0</v>
      </c>
      <c r="C14" s="70"/>
      <c r="D14" s="70"/>
      <c r="E14" s="68">
        <f t="shared" si="1"/>
        <v>0</v>
      </c>
      <c r="F14" s="71">
        <v>0.0</v>
      </c>
      <c r="G14" s="72">
        <v>1579.0</v>
      </c>
      <c r="H14" s="68">
        <f t="shared" si="17"/>
        <v>1579</v>
      </c>
      <c r="I14" s="73">
        <f t="shared" ref="I14:J14" si="25">F14*55000*0.35/1000/0.55</f>
        <v>0</v>
      </c>
      <c r="J14" s="73">
        <f t="shared" si="25"/>
        <v>55265</v>
      </c>
      <c r="K14" s="68">
        <f t="shared" si="19"/>
        <v>55265</v>
      </c>
      <c r="L14" s="71">
        <v>0.0</v>
      </c>
      <c r="M14" s="71">
        <v>20000.0</v>
      </c>
      <c r="N14" s="68">
        <f t="shared" si="3"/>
        <v>20000</v>
      </c>
      <c r="O14" s="71">
        <v>0.0</v>
      </c>
      <c r="P14" s="71">
        <v>3939.2086330935253</v>
      </c>
      <c r="Q14" s="68">
        <f t="shared" si="4"/>
        <v>3939.208633</v>
      </c>
      <c r="R14" s="71">
        <f t="shared" ref="R14:S14" si="26">L14-O14</f>
        <v>0</v>
      </c>
      <c r="S14" s="71">
        <f t="shared" si="26"/>
        <v>16060.79137</v>
      </c>
      <c r="T14" s="68">
        <f t="shared" si="6"/>
        <v>16060.79137</v>
      </c>
      <c r="U14" s="71">
        <f t="shared" ref="U14:V14" si="27">R14*0.55</f>
        <v>0</v>
      </c>
      <c r="V14" s="71">
        <f t="shared" si="27"/>
        <v>8833.435252</v>
      </c>
      <c r="W14" s="68">
        <f t="shared" si="8"/>
        <v>8833.435252</v>
      </c>
      <c r="X14" s="71">
        <f t="shared" ref="X14:Y14" si="28">U14/0.95</f>
        <v>0</v>
      </c>
      <c r="Y14" s="71">
        <f t="shared" si="28"/>
        <v>9298.352897</v>
      </c>
      <c r="Z14" s="68">
        <f t="shared" si="10"/>
        <v>9298.352897</v>
      </c>
      <c r="AA14" s="71">
        <v>0.0</v>
      </c>
      <c r="AB14" s="71">
        <v>10023.9971</v>
      </c>
      <c r="AC14" s="68">
        <f t="shared" si="11"/>
        <v>10023.9971</v>
      </c>
      <c r="AD14" s="71">
        <f t="shared" ref="AD14:AE14" si="29">AA14*0.95</f>
        <v>0</v>
      </c>
      <c r="AE14" s="71">
        <f t="shared" si="29"/>
        <v>9522.797245</v>
      </c>
      <c r="AF14" s="68">
        <f t="shared" si="13"/>
        <v>9522.797245</v>
      </c>
      <c r="AG14" s="71">
        <v>0.0</v>
      </c>
      <c r="AH14" s="71">
        <v>361.0</v>
      </c>
      <c r="AI14" s="68">
        <f t="shared" si="14"/>
        <v>361</v>
      </c>
      <c r="AJ14" s="71">
        <f t="shared" ref="AJ14:AK14" si="30">AG14/1.05506</f>
        <v>0</v>
      </c>
      <c r="AK14" s="71">
        <f t="shared" si="30"/>
        <v>342.1606354</v>
      </c>
      <c r="AL14" s="68">
        <f t="shared" si="16"/>
        <v>342.1606354</v>
      </c>
    </row>
    <row r="15" ht="14.25" customHeight="1">
      <c r="B15" s="69">
        <v>45539.0</v>
      </c>
      <c r="C15" s="70"/>
      <c r="D15" s="70"/>
      <c r="E15" s="68">
        <f t="shared" si="1"/>
        <v>0</v>
      </c>
      <c r="F15" s="71">
        <v>0.0</v>
      </c>
      <c r="G15" s="72">
        <v>1217.0</v>
      </c>
      <c r="H15" s="68">
        <f t="shared" si="17"/>
        <v>1217</v>
      </c>
      <c r="I15" s="73">
        <f t="shared" ref="I15:J15" si="31">F15*55000*0.35/1000/0.55</f>
        <v>0</v>
      </c>
      <c r="J15" s="73">
        <f t="shared" si="31"/>
        <v>42595</v>
      </c>
      <c r="K15" s="68">
        <f t="shared" si="19"/>
        <v>42595</v>
      </c>
      <c r="L15" s="71">
        <v>0.0</v>
      </c>
      <c r="M15" s="71">
        <v>22019.0</v>
      </c>
      <c r="N15" s="68">
        <f t="shared" si="3"/>
        <v>22019</v>
      </c>
      <c r="O15" s="71">
        <v>0.0</v>
      </c>
      <c r="P15" s="71">
        <v>3838.129496402878</v>
      </c>
      <c r="Q15" s="68">
        <f t="shared" si="4"/>
        <v>3838.129496</v>
      </c>
      <c r="R15" s="71">
        <f t="shared" ref="R15:S15" si="32">L15-O15</f>
        <v>0</v>
      </c>
      <c r="S15" s="71">
        <f t="shared" si="32"/>
        <v>18180.8705</v>
      </c>
      <c r="T15" s="68">
        <f t="shared" si="6"/>
        <v>18180.8705</v>
      </c>
      <c r="U15" s="71">
        <f t="shared" ref="U15:V15" si="33">R15*0.55</f>
        <v>0</v>
      </c>
      <c r="V15" s="71">
        <f t="shared" si="33"/>
        <v>9999.478777</v>
      </c>
      <c r="W15" s="68">
        <f t="shared" si="8"/>
        <v>9999.478777</v>
      </c>
      <c r="X15" s="71">
        <f t="shared" ref="X15:Y15" si="34">U15/0.95</f>
        <v>0</v>
      </c>
      <c r="Y15" s="71">
        <f t="shared" si="34"/>
        <v>10525.76713</v>
      </c>
      <c r="Z15" s="68">
        <f t="shared" si="10"/>
        <v>10525.76713</v>
      </c>
      <c r="AA15" s="71">
        <v>0.0</v>
      </c>
      <c r="AB15" s="71">
        <v>11057.3376</v>
      </c>
      <c r="AC15" s="68">
        <f t="shared" si="11"/>
        <v>11057.3376</v>
      </c>
      <c r="AD15" s="71">
        <f t="shared" ref="AD15:AE15" si="35">AA15*0.95</f>
        <v>0</v>
      </c>
      <c r="AE15" s="71">
        <f t="shared" si="35"/>
        <v>10504.47072</v>
      </c>
      <c r="AF15" s="68">
        <f t="shared" si="13"/>
        <v>10504.47072</v>
      </c>
      <c r="AG15" s="71">
        <v>0.0</v>
      </c>
      <c r="AH15" s="71">
        <v>399.0</v>
      </c>
      <c r="AI15" s="68">
        <f t="shared" si="14"/>
        <v>399</v>
      </c>
      <c r="AJ15" s="71">
        <f t="shared" ref="AJ15:AK15" si="36">AG15/1.05506</f>
        <v>0</v>
      </c>
      <c r="AK15" s="71">
        <f t="shared" si="36"/>
        <v>378.1775444</v>
      </c>
      <c r="AL15" s="68">
        <f t="shared" si="16"/>
        <v>378.1775444</v>
      </c>
    </row>
    <row r="16" ht="14.25" customHeight="1">
      <c r="B16" s="69">
        <v>45540.0</v>
      </c>
      <c r="C16" s="70"/>
      <c r="D16" s="70"/>
      <c r="E16" s="68">
        <f t="shared" si="1"/>
        <v>0</v>
      </c>
      <c r="F16" s="71">
        <v>0.0</v>
      </c>
      <c r="G16" s="72">
        <v>1139.0</v>
      </c>
      <c r="H16" s="68">
        <f t="shared" si="17"/>
        <v>1139</v>
      </c>
      <c r="I16" s="73">
        <f t="shared" ref="I16:J16" si="37">F16*55000*0.35/1000/0.55</f>
        <v>0</v>
      </c>
      <c r="J16" s="73">
        <f t="shared" si="37"/>
        <v>39865</v>
      </c>
      <c r="K16" s="68">
        <f t="shared" si="19"/>
        <v>39865</v>
      </c>
      <c r="L16" s="71">
        <v>0.0</v>
      </c>
      <c r="M16" s="71">
        <v>23002.0</v>
      </c>
      <c r="N16" s="68">
        <f t="shared" si="3"/>
        <v>23002</v>
      </c>
      <c r="O16" s="71">
        <v>0.0</v>
      </c>
      <c r="P16" s="71">
        <v>3712.94964028777</v>
      </c>
      <c r="Q16" s="68">
        <f t="shared" si="4"/>
        <v>3712.94964</v>
      </c>
      <c r="R16" s="71">
        <f t="shared" ref="R16:S16" si="38">L16-O16</f>
        <v>0</v>
      </c>
      <c r="S16" s="71">
        <f t="shared" si="38"/>
        <v>19289.05036</v>
      </c>
      <c r="T16" s="68">
        <f t="shared" si="6"/>
        <v>19289.05036</v>
      </c>
      <c r="U16" s="71">
        <f t="shared" ref="U16:V16" si="39">R16*0.55</f>
        <v>0</v>
      </c>
      <c r="V16" s="71">
        <f t="shared" si="39"/>
        <v>10608.9777</v>
      </c>
      <c r="W16" s="68">
        <f t="shared" si="8"/>
        <v>10608.9777</v>
      </c>
      <c r="X16" s="71">
        <f t="shared" ref="X16:Y16" si="40">U16/0.95</f>
        <v>0</v>
      </c>
      <c r="Y16" s="71">
        <f t="shared" si="40"/>
        <v>11167.34495</v>
      </c>
      <c r="Z16" s="68">
        <f t="shared" si="10"/>
        <v>11167.34495</v>
      </c>
      <c r="AA16" s="71">
        <v>0.0</v>
      </c>
      <c r="AB16" s="71">
        <v>10811.2797</v>
      </c>
      <c r="AC16" s="68">
        <f t="shared" si="11"/>
        <v>10811.2797</v>
      </c>
      <c r="AD16" s="71">
        <f t="shared" ref="AD16:AE16" si="41">AA16*0.95</f>
        <v>0</v>
      </c>
      <c r="AE16" s="71">
        <f t="shared" si="41"/>
        <v>10270.71572</v>
      </c>
      <c r="AF16" s="68">
        <f t="shared" si="13"/>
        <v>10270.71572</v>
      </c>
      <c r="AG16" s="71">
        <v>0.0</v>
      </c>
      <c r="AH16" s="71">
        <v>392.0</v>
      </c>
      <c r="AI16" s="68">
        <f t="shared" si="14"/>
        <v>392</v>
      </c>
      <c r="AJ16" s="71">
        <f t="shared" ref="AJ16:AK16" si="42">AG16/1.05506</f>
        <v>0</v>
      </c>
      <c r="AK16" s="71">
        <f t="shared" si="42"/>
        <v>371.5428506</v>
      </c>
      <c r="AL16" s="68">
        <f t="shared" si="16"/>
        <v>371.5428506</v>
      </c>
    </row>
    <row r="17" ht="14.25" customHeight="1">
      <c r="B17" s="69">
        <v>45541.0</v>
      </c>
      <c r="C17" s="70"/>
      <c r="D17" s="70"/>
      <c r="E17" s="68">
        <f t="shared" si="1"/>
        <v>0</v>
      </c>
      <c r="F17" s="71">
        <v>0.0</v>
      </c>
      <c r="G17" s="72">
        <v>1249.0</v>
      </c>
      <c r="H17" s="68">
        <f t="shared" si="17"/>
        <v>1249</v>
      </c>
      <c r="I17" s="73">
        <f t="shared" ref="I17:J17" si="43">F17*55000*0.35/1000/0.55</f>
        <v>0</v>
      </c>
      <c r="J17" s="73">
        <f t="shared" si="43"/>
        <v>43715</v>
      </c>
      <c r="K17" s="68">
        <f t="shared" si="19"/>
        <v>43715</v>
      </c>
      <c r="L17" s="71">
        <v>0.0</v>
      </c>
      <c r="M17" s="71">
        <v>22880.0</v>
      </c>
      <c r="N17" s="68">
        <f t="shared" si="3"/>
        <v>22880</v>
      </c>
      <c r="O17" s="71">
        <v>0.0</v>
      </c>
      <c r="P17" s="71">
        <v>3426.6187050359713</v>
      </c>
      <c r="Q17" s="68">
        <f t="shared" si="4"/>
        <v>3426.618705</v>
      </c>
      <c r="R17" s="71">
        <f t="shared" ref="R17:S17" si="44">L17-O17</f>
        <v>0</v>
      </c>
      <c r="S17" s="71">
        <f t="shared" si="44"/>
        <v>19453.38129</v>
      </c>
      <c r="T17" s="68">
        <f t="shared" si="6"/>
        <v>19453.38129</v>
      </c>
      <c r="U17" s="71">
        <f t="shared" ref="U17:V17" si="45">R17*0.55</f>
        <v>0</v>
      </c>
      <c r="V17" s="71">
        <f t="shared" si="45"/>
        <v>10699.35971</v>
      </c>
      <c r="W17" s="68">
        <f t="shared" si="8"/>
        <v>10699.35971</v>
      </c>
      <c r="X17" s="71">
        <f t="shared" ref="X17:Y17" si="46">U17/0.95</f>
        <v>0</v>
      </c>
      <c r="Y17" s="71">
        <f t="shared" si="46"/>
        <v>11262.48391</v>
      </c>
      <c r="Z17" s="68">
        <f t="shared" si="10"/>
        <v>11262.48391</v>
      </c>
      <c r="AA17" s="71">
        <v>0.0</v>
      </c>
      <c r="AB17" s="71">
        <v>10871.7854</v>
      </c>
      <c r="AC17" s="68">
        <f t="shared" si="11"/>
        <v>10871.7854</v>
      </c>
      <c r="AD17" s="71">
        <f t="shared" ref="AD17:AE17" si="47">AA17*0.95</f>
        <v>0</v>
      </c>
      <c r="AE17" s="71">
        <f t="shared" si="47"/>
        <v>10328.19613</v>
      </c>
      <c r="AF17" s="68">
        <f t="shared" si="13"/>
        <v>10328.19613</v>
      </c>
      <c r="AG17" s="71">
        <v>0.0</v>
      </c>
      <c r="AH17" s="71">
        <v>395.0</v>
      </c>
      <c r="AI17" s="68">
        <f t="shared" si="14"/>
        <v>395</v>
      </c>
      <c r="AJ17" s="71">
        <f t="shared" ref="AJ17:AK17" si="48">AG17/1.05506</f>
        <v>0</v>
      </c>
      <c r="AK17" s="71">
        <f t="shared" si="48"/>
        <v>374.3862908</v>
      </c>
      <c r="AL17" s="68">
        <f t="shared" si="16"/>
        <v>374.3862908</v>
      </c>
    </row>
    <row r="18" ht="14.25" customHeight="1">
      <c r="B18" s="69">
        <v>45542.0</v>
      </c>
      <c r="C18" s="70"/>
      <c r="D18" s="70"/>
      <c r="E18" s="68">
        <f t="shared" si="1"/>
        <v>0</v>
      </c>
      <c r="F18" s="71">
        <v>0.0</v>
      </c>
      <c r="G18" s="72">
        <v>1072.0</v>
      </c>
      <c r="H18" s="68">
        <f t="shared" si="17"/>
        <v>1072</v>
      </c>
      <c r="I18" s="73">
        <f t="shared" ref="I18:J18" si="49">F18*55000*0.35/1000/0.55</f>
        <v>0</v>
      </c>
      <c r="J18" s="73">
        <f t="shared" si="49"/>
        <v>37520</v>
      </c>
      <c r="K18" s="68">
        <f t="shared" si="19"/>
        <v>37520</v>
      </c>
      <c r="L18" s="71">
        <v>0.0</v>
      </c>
      <c r="M18" s="71">
        <v>22649.0</v>
      </c>
      <c r="N18" s="68">
        <f t="shared" si="3"/>
        <v>22649</v>
      </c>
      <c r="O18" s="71">
        <v>0.0</v>
      </c>
      <c r="P18" s="71">
        <v>3582.014388489209</v>
      </c>
      <c r="Q18" s="68">
        <f t="shared" si="4"/>
        <v>3582.014388</v>
      </c>
      <c r="R18" s="71">
        <f t="shared" ref="R18:S18" si="50">L18-O18</f>
        <v>0</v>
      </c>
      <c r="S18" s="71">
        <f t="shared" si="50"/>
        <v>19066.98561</v>
      </c>
      <c r="T18" s="68">
        <f t="shared" si="6"/>
        <v>19066.98561</v>
      </c>
      <c r="U18" s="71">
        <f t="shared" ref="U18:V18" si="51">R18*0.55</f>
        <v>0</v>
      </c>
      <c r="V18" s="71">
        <f t="shared" si="51"/>
        <v>10486.84209</v>
      </c>
      <c r="W18" s="68">
        <f t="shared" si="8"/>
        <v>10486.84209</v>
      </c>
      <c r="X18" s="71">
        <f t="shared" ref="X18:Y18" si="52">U18/0.95</f>
        <v>0</v>
      </c>
      <c r="Y18" s="71">
        <f t="shared" si="52"/>
        <v>11038.78114</v>
      </c>
      <c r="Z18" s="68">
        <f t="shared" si="10"/>
        <v>11038.78114</v>
      </c>
      <c r="AA18" s="71">
        <v>0.0</v>
      </c>
      <c r="AB18" s="71">
        <v>10821.8991</v>
      </c>
      <c r="AC18" s="68">
        <f t="shared" si="11"/>
        <v>10821.8991</v>
      </c>
      <c r="AD18" s="71">
        <f t="shared" ref="AD18:AE18" si="53">AA18*0.95</f>
        <v>0</v>
      </c>
      <c r="AE18" s="71">
        <f t="shared" si="53"/>
        <v>10280.80415</v>
      </c>
      <c r="AF18" s="68">
        <f t="shared" si="13"/>
        <v>10280.80415</v>
      </c>
      <c r="AG18" s="71">
        <v>0.0</v>
      </c>
      <c r="AH18" s="71">
        <v>393.0</v>
      </c>
      <c r="AI18" s="68">
        <f t="shared" si="14"/>
        <v>393</v>
      </c>
      <c r="AJ18" s="71">
        <f t="shared" ref="AJ18:AK18" si="54">AG18/1.05506</f>
        <v>0</v>
      </c>
      <c r="AK18" s="71">
        <f t="shared" si="54"/>
        <v>372.490664</v>
      </c>
      <c r="AL18" s="68">
        <f t="shared" si="16"/>
        <v>372.490664</v>
      </c>
    </row>
    <row r="19" ht="14.25" customHeight="1">
      <c r="B19" s="69">
        <v>45543.0</v>
      </c>
      <c r="C19" s="70"/>
      <c r="D19" s="70"/>
      <c r="E19" s="68">
        <f t="shared" si="1"/>
        <v>0</v>
      </c>
      <c r="F19" s="71">
        <v>0.0</v>
      </c>
      <c r="G19" s="72">
        <v>1000.0</v>
      </c>
      <c r="H19" s="68">
        <f t="shared" si="17"/>
        <v>1000</v>
      </c>
      <c r="I19" s="73">
        <f t="shared" ref="I19:J19" si="55">F19*55000*0.35/1000/0.55</f>
        <v>0</v>
      </c>
      <c r="J19" s="73">
        <f t="shared" si="55"/>
        <v>35000</v>
      </c>
      <c r="K19" s="68">
        <f t="shared" si="19"/>
        <v>35000</v>
      </c>
      <c r="L19" s="71">
        <v>0.0</v>
      </c>
      <c r="M19" s="71">
        <v>22232.0</v>
      </c>
      <c r="N19" s="68">
        <f t="shared" si="3"/>
        <v>22232</v>
      </c>
      <c r="O19" s="71">
        <v>0.0</v>
      </c>
      <c r="P19" s="71">
        <v>3258.9928057553957</v>
      </c>
      <c r="Q19" s="68">
        <f t="shared" si="4"/>
        <v>3258.992806</v>
      </c>
      <c r="R19" s="71">
        <f t="shared" ref="R19:S19" si="56">L19-O19</f>
        <v>0</v>
      </c>
      <c r="S19" s="71">
        <f t="shared" si="56"/>
        <v>18973.00719</v>
      </c>
      <c r="T19" s="68">
        <f t="shared" si="6"/>
        <v>18973.00719</v>
      </c>
      <c r="U19" s="71">
        <f t="shared" ref="U19:V19" si="57">R19*0.55</f>
        <v>0</v>
      </c>
      <c r="V19" s="71">
        <f t="shared" si="57"/>
        <v>10435.15396</v>
      </c>
      <c r="W19" s="68">
        <f t="shared" si="8"/>
        <v>10435.15396</v>
      </c>
      <c r="X19" s="71">
        <f t="shared" ref="X19:Y19" si="58">U19/0.95</f>
        <v>0</v>
      </c>
      <c r="Y19" s="71">
        <f t="shared" si="58"/>
        <v>10984.37259</v>
      </c>
      <c r="Z19" s="68">
        <f t="shared" si="10"/>
        <v>10984.37259</v>
      </c>
      <c r="AA19" s="71">
        <v>0.0</v>
      </c>
      <c r="AB19" s="71">
        <v>10900.6526</v>
      </c>
      <c r="AC19" s="68">
        <f t="shared" si="11"/>
        <v>10900.6526</v>
      </c>
      <c r="AD19" s="71">
        <f t="shared" ref="AD19:AE19" si="59">AA19*0.95</f>
        <v>0</v>
      </c>
      <c r="AE19" s="71">
        <f t="shared" si="59"/>
        <v>10355.61997</v>
      </c>
      <c r="AF19" s="68">
        <f t="shared" si="13"/>
        <v>10355.61997</v>
      </c>
      <c r="AG19" s="71">
        <v>0.0</v>
      </c>
      <c r="AH19" s="71">
        <v>395.0</v>
      </c>
      <c r="AI19" s="68">
        <f t="shared" si="14"/>
        <v>395</v>
      </c>
      <c r="AJ19" s="71">
        <f t="shared" ref="AJ19:AK19" si="60">AG19/1.05506</f>
        <v>0</v>
      </c>
      <c r="AK19" s="71">
        <f t="shared" si="60"/>
        <v>374.3862908</v>
      </c>
      <c r="AL19" s="68">
        <f t="shared" si="16"/>
        <v>374.3862908</v>
      </c>
    </row>
    <row r="20" ht="14.25" customHeight="1">
      <c r="B20" s="69">
        <v>45544.0</v>
      </c>
      <c r="C20" s="70"/>
      <c r="D20" s="70"/>
      <c r="E20" s="68">
        <f t="shared" si="1"/>
        <v>0</v>
      </c>
      <c r="F20" s="71">
        <v>0.0</v>
      </c>
      <c r="G20" s="72">
        <v>799.0</v>
      </c>
      <c r="H20" s="68">
        <f t="shared" si="17"/>
        <v>799</v>
      </c>
      <c r="I20" s="73">
        <f t="shared" ref="I20:J20" si="61">F20*55000*0.35/1000/0.55</f>
        <v>0</v>
      </c>
      <c r="J20" s="73">
        <f t="shared" si="61"/>
        <v>27965</v>
      </c>
      <c r="K20" s="68">
        <f t="shared" si="19"/>
        <v>27965</v>
      </c>
      <c r="L20" s="71">
        <v>0.0</v>
      </c>
      <c r="M20" s="71">
        <v>22158.0</v>
      </c>
      <c r="N20" s="68">
        <f t="shared" si="3"/>
        <v>22158</v>
      </c>
      <c r="O20" s="71">
        <v>0.0</v>
      </c>
      <c r="P20" s="71">
        <v>3534.172661870504</v>
      </c>
      <c r="Q20" s="68">
        <f t="shared" si="4"/>
        <v>3534.172662</v>
      </c>
      <c r="R20" s="71">
        <f t="shared" ref="R20:S20" si="62">L20-O20</f>
        <v>0</v>
      </c>
      <c r="S20" s="71">
        <f t="shared" si="62"/>
        <v>18623.82734</v>
      </c>
      <c r="T20" s="68">
        <f t="shared" si="6"/>
        <v>18623.82734</v>
      </c>
      <c r="U20" s="71">
        <f t="shared" ref="U20:V20" si="63">R20*0.55</f>
        <v>0</v>
      </c>
      <c r="V20" s="71">
        <f t="shared" si="63"/>
        <v>10243.10504</v>
      </c>
      <c r="W20" s="68">
        <f t="shared" si="8"/>
        <v>10243.10504</v>
      </c>
      <c r="X20" s="71">
        <f t="shared" ref="X20:Y20" si="64">U20/0.95</f>
        <v>0</v>
      </c>
      <c r="Y20" s="71">
        <f t="shared" si="64"/>
        <v>10782.21583</v>
      </c>
      <c r="Z20" s="68">
        <f t="shared" si="10"/>
        <v>10782.21583</v>
      </c>
      <c r="AA20" s="71">
        <v>0.0</v>
      </c>
      <c r="AB20" s="71">
        <v>10872.7974</v>
      </c>
      <c r="AC20" s="68">
        <f t="shared" si="11"/>
        <v>10872.7974</v>
      </c>
      <c r="AD20" s="71">
        <f t="shared" ref="AD20:AE20" si="65">AA20*0.95</f>
        <v>0</v>
      </c>
      <c r="AE20" s="71">
        <f t="shared" si="65"/>
        <v>10329.15753</v>
      </c>
      <c r="AF20" s="68">
        <f t="shared" si="13"/>
        <v>10329.15753</v>
      </c>
      <c r="AG20" s="71">
        <v>0.0</v>
      </c>
      <c r="AH20" s="71">
        <v>394.0</v>
      </c>
      <c r="AI20" s="68">
        <f t="shared" si="14"/>
        <v>394</v>
      </c>
      <c r="AJ20" s="71">
        <f t="shared" ref="AJ20:AK20" si="66">AG20/1.05506</f>
        <v>0</v>
      </c>
      <c r="AK20" s="71">
        <f t="shared" si="66"/>
        <v>373.4384774</v>
      </c>
      <c r="AL20" s="68">
        <f t="shared" si="16"/>
        <v>373.4384774</v>
      </c>
    </row>
    <row r="21" ht="14.25" customHeight="1">
      <c r="B21" s="69">
        <v>45545.0</v>
      </c>
      <c r="C21" s="70"/>
      <c r="D21" s="70"/>
      <c r="E21" s="68">
        <f t="shared" si="1"/>
        <v>0</v>
      </c>
      <c r="F21" s="71">
        <v>0.0</v>
      </c>
      <c r="G21" s="72">
        <v>1401.0</v>
      </c>
      <c r="H21" s="68">
        <f t="shared" si="17"/>
        <v>1401</v>
      </c>
      <c r="I21" s="73">
        <f t="shared" ref="I21:J21" si="67">F21*55000*0.35/1000/0.55</f>
        <v>0</v>
      </c>
      <c r="J21" s="73">
        <f t="shared" si="67"/>
        <v>49035</v>
      </c>
      <c r="K21" s="68">
        <f t="shared" si="19"/>
        <v>49035</v>
      </c>
      <c r="L21" s="71">
        <v>0.0</v>
      </c>
      <c r="M21" s="71">
        <v>21975.0</v>
      </c>
      <c r="N21" s="68">
        <f t="shared" si="3"/>
        <v>21975</v>
      </c>
      <c r="O21" s="71">
        <v>0.0</v>
      </c>
      <c r="P21" s="71">
        <v>3721.5827338129498</v>
      </c>
      <c r="Q21" s="68">
        <f t="shared" si="4"/>
        <v>3721.582734</v>
      </c>
      <c r="R21" s="71">
        <f t="shared" ref="R21:S21" si="68">L21-O21</f>
        <v>0</v>
      </c>
      <c r="S21" s="71">
        <f t="shared" si="68"/>
        <v>18253.41727</v>
      </c>
      <c r="T21" s="68">
        <f t="shared" si="6"/>
        <v>18253.41727</v>
      </c>
      <c r="U21" s="71">
        <f t="shared" ref="U21:V21" si="69">R21*0.55</f>
        <v>0</v>
      </c>
      <c r="V21" s="71">
        <f t="shared" si="69"/>
        <v>10039.3795</v>
      </c>
      <c r="W21" s="68">
        <f t="shared" si="8"/>
        <v>10039.3795</v>
      </c>
      <c r="X21" s="71">
        <f t="shared" ref="X21:Y21" si="70">U21/0.95</f>
        <v>0</v>
      </c>
      <c r="Y21" s="71">
        <f t="shared" si="70"/>
        <v>10567.76789</v>
      </c>
      <c r="Z21" s="68">
        <f t="shared" si="10"/>
        <v>10567.76789</v>
      </c>
      <c r="AA21" s="71">
        <v>0.0</v>
      </c>
      <c r="AB21" s="71">
        <v>10847.0487</v>
      </c>
      <c r="AC21" s="68">
        <f t="shared" si="11"/>
        <v>10847.0487</v>
      </c>
      <c r="AD21" s="71">
        <f t="shared" ref="AD21:AE21" si="71">AA21*0.95</f>
        <v>0</v>
      </c>
      <c r="AE21" s="71">
        <f t="shared" si="71"/>
        <v>10304.69627</v>
      </c>
      <c r="AF21" s="68">
        <f t="shared" si="13"/>
        <v>10304.69627</v>
      </c>
      <c r="AG21" s="71">
        <v>0.0</v>
      </c>
      <c r="AH21" s="71">
        <v>393.0</v>
      </c>
      <c r="AI21" s="68">
        <f t="shared" si="14"/>
        <v>393</v>
      </c>
      <c r="AJ21" s="71">
        <f t="shared" ref="AJ21:AK21" si="72">AG21/1.05506</f>
        <v>0</v>
      </c>
      <c r="AK21" s="71">
        <f t="shared" si="72"/>
        <v>372.490664</v>
      </c>
      <c r="AL21" s="68">
        <f t="shared" si="16"/>
        <v>372.490664</v>
      </c>
    </row>
    <row r="22" ht="14.25" customHeight="1">
      <c r="B22" s="69">
        <v>45546.0</v>
      </c>
      <c r="C22" s="70"/>
      <c r="D22" s="70"/>
      <c r="E22" s="68">
        <f t="shared" si="1"/>
        <v>0</v>
      </c>
      <c r="F22" s="71">
        <v>0.0</v>
      </c>
      <c r="G22" s="72">
        <v>1273.0</v>
      </c>
      <c r="H22" s="68">
        <f t="shared" si="17"/>
        <v>1273</v>
      </c>
      <c r="I22" s="73">
        <f t="shared" ref="I22:J22" si="73">F22*55000*0.35/1000/0.55</f>
        <v>0</v>
      </c>
      <c r="J22" s="73">
        <f t="shared" si="73"/>
        <v>44555</v>
      </c>
      <c r="K22" s="68">
        <f t="shared" si="19"/>
        <v>44555</v>
      </c>
      <c r="L22" s="71">
        <v>0.0</v>
      </c>
      <c r="M22" s="71">
        <v>22004.0</v>
      </c>
      <c r="N22" s="68">
        <f t="shared" si="3"/>
        <v>22004</v>
      </c>
      <c r="O22" s="71">
        <v>0.0</v>
      </c>
      <c r="P22" s="71">
        <v>3577.697841726619</v>
      </c>
      <c r="Q22" s="68">
        <f t="shared" si="4"/>
        <v>3577.697842</v>
      </c>
      <c r="R22" s="71">
        <f t="shared" ref="R22:S22" si="74">L22-O22</f>
        <v>0</v>
      </c>
      <c r="S22" s="71">
        <f t="shared" si="74"/>
        <v>18426.30216</v>
      </c>
      <c r="T22" s="68">
        <f t="shared" si="6"/>
        <v>18426.30216</v>
      </c>
      <c r="U22" s="71">
        <f t="shared" ref="U22:V22" si="75">R22*0.55</f>
        <v>0</v>
      </c>
      <c r="V22" s="71">
        <f t="shared" si="75"/>
        <v>10134.46619</v>
      </c>
      <c r="W22" s="68">
        <f t="shared" si="8"/>
        <v>10134.46619</v>
      </c>
      <c r="X22" s="71">
        <f t="shared" ref="X22:Y22" si="76">U22/0.95</f>
        <v>0</v>
      </c>
      <c r="Y22" s="71">
        <f t="shared" si="76"/>
        <v>10667.85914</v>
      </c>
      <c r="Z22" s="68">
        <f t="shared" si="10"/>
        <v>10667.85914</v>
      </c>
      <c r="AA22" s="71">
        <v>0.0</v>
      </c>
      <c r="AB22" s="71">
        <v>10163.3776</v>
      </c>
      <c r="AC22" s="68">
        <f t="shared" si="11"/>
        <v>10163.3776</v>
      </c>
      <c r="AD22" s="71">
        <f t="shared" ref="AD22:AE22" si="77">AA22*0.95</f>
        <v>0</v>
      </c>
      <c r="AE22" s="71">
        <f t="shared" si="77"/>
        <v>9655.20872</v>
      </c>
      <c r="AF22" s="68">
        <f t="shared" si="13"/>
        <v>9655.20872</v>
      </c>
      <c r="AG22" s="71">
        <v>0.0</v>
      </c>
      <c r="AH22" s="71">
        <v>368.0</v>
      </c>
      <c r="AI22" s="68">
        <f t="shared" si="14"/>
        <v>368</v>
      </c>
      <c r="AJ22" s="71">
        <f t="shared" ref="AJ22:AK22" si="78">AG22/1.05506</f>
        <v>0</v>
      </c>
      <c r="AK22" s="71">
        <f t="shared" si="78"/>
        <v>348.7953292</v>
      </c>
      <c r="AL22" s="68">
        <f t="shared" si="16"/>
        <v>348.7953292</v>
      </c>
    </row>
    <row r="23" ht="14.25" customHeight="1">
      <c r="B23" s="69">
        <v>45547.0</v>
      </c>
      <c r="C23" s="70"/>
      <c r="D23" s="70"/>
      <c r="E23" s="68">
        <f t="shared" si="1"/>
        <v>0</v>
      </c>
      <c r="F23" s="71">
        <v>0.0</v>
      </c>
      <c r="G23" s="72">
        <v>1231.0</v>
      </c>
      <c r="H23" s="68">
        <f t="shared" si="17"/>
        <v>1231</v>
      </c>
      <c r="I23" s="73">
        <f t="shared" ref="I23:J23" si="79">F23*55000*0.35/1000/0.55</f>
        <v>0</v>
      </c>
      <c r="J23" s="73">
        <f t="shared" si="79"/>
        <v>43085</v>
      </c>
      <c r="K23" s="68">
        <f t="shared" si="19"/>
        <v>43085</v>
      </c>
      <c r="L23" s="71">
        <v>0.0</v>
      </c>
      <c r="M23" s="71">
        <v>18773.0</v>
      </c>
      <c r="N23" s="68">
        <f t="shared" si="3"/>
        <v>18773</v>
      </c>
      <c r="O23" s="71">
        <v>0.0</v>
      </c>
      <c r="P23" s="71">
        <v>2806.474820143885</v>
      </c>
      <c r="Q23" s="68">
        <f t="shared" si="4"/>
        <v>2806.47482</v>
      </c>
      <c r="R23" s="71">
        <f t="shared" ref="R23:S23" si="80">L23-O23</f>
        <v>0</v>
      </c>
      <c r="S23" s="71">
        <f t="shared" si="80"/>
        <v>15966.52518</v>
      </c>
      <c r="T23" s="68">
        <f t="shared" si="6"/>
        <v>15966.52518</v>
      </c>
      <c r="U23" s="71">
        <f t="shared" ref="U23:V23" si="81">R23*0.55</f>
        <v>0</v>
      </c>
      <c r="V23" s="71">
        <f t="shared" si="81"/>
        <v>8781.588849</v>
      </c>
      <c r="W23" s="68">
        <f t="shared" si="8"/>
        <v>8781.588849</v>
      </c>
      <c r="X23" s="71">
        <f t="shared" ref="X23:Y23" si="82">U23/0.95</f>
        <v>0</v>
      </c>
      <c r="Y23" s="71">
        <f t="shared" si="82"/>
        <v>9243.777736</v>
      </c>
      <c r="Z23" s="68">
        <f t="shared" si="10"/>
        <v>9243.777736</v>
      </c>
      <c r="AA23" s="71">
        <v>0.0</v>
      </c>
      <c r="AB23" s="71">
        <v>6777.8004</v>
      </c>
      <c r="AC23" s="68">
        <f t="shared" si="11"/>
        <v>6777.8004</v>
      </c>
      <c r="AD23" s="71">
        <f t="shared" ref="AD23:AE23" si="83">AA23*0.95</f>
        <v>0</v>
      </c>
      <c r="AE23" s="71">
        <f t="shared" si="83"/>
        <v>6438.91038</v>
      </c>
      <c r="AF23" s="68">
        <f t="shared" si="13"/>
        <v>6438.91038</v>
      </c>
      <c r="AG23" s="71">
        <v>0.0</v>
      </c>
      <c r="AH23" s="71">
        <v>246.0</v>
      </c>
      <c r="AI23" s="68">
        <f t="shared" si="14"/>
        <v>246</v>
      </c>
      <c r="AJ23" s="71">
        <f t="shared" ref="AJ23:AK23" si="84">AG23/1.05506</f>
        <v>0</v>
      </c>
      <c r="AK23" s="71">
        <f t="shared" si="84"/>
        <v>233.162095</v>
      </c>
      <c r="AL23" s="68">
        <f t="shared" si="16"/>
        <v>233.162095</v>
      </c>
    </row>
    <row r="24" ht="14.25" customHeight="1">
      <c r="B24" s="69">
        <v>45548.0</v>
      </c>
      <c r="C24" s="70"/>
      <c r="D24" s="70"/>
      <c r="E24" s="68">
        <f t="shared" si="1"/>
        <v>0</v>
      </c>
      <c r="F24" s="71">
        <v>0.0</v>
      </c>
      <c r="G24" s="72">
        <v>1159.0</v>
      </c>
      <c r="H24" s="68">
        <f t="shared" si="17"/>
        <v>1159</v>
      </c>
      <c r="I24" s="73">
        <f t="shared" ref="I24:J24" si="85">F24*55000*0.35/1000/0.55</f>
        <v>0</v>
      </c>
      <c r="J24" s="73">
        <f t="shared" si="85"/>
        <v>40565</v>
      </c>
      <c r="K24" s="68">
        <f t="shared" si="19"/>
        <v>40565</v>
      </c>
      <c r="L24" s="71">
        <v>0.0</v>
      </c>
      <c r="M24" s="71">
        <v>23675.0</v>
      </c>
      <c r="N24" s="68">
        <f t="shared" si="3"/>
        <v>23675</v>
      </c>
      <c r="O24" s="71">
        <v>0.0</v>
      </c>
      <c r="P24" s="71">
        <v>3665.8273381294966</v>
      </c>
      <c r="Q24" s="68">
        <f t="shared" si="4"/>
        <v>3665.827338</v>
      </c>
      <c r="R24" s="71">
        <f t="shared" ref="R24:S24" si="86">L24-O24</f>
        <v>0</v>
      </c>
      <c r="S24" s="71">
        <f t="shared" si="86"/>
        <v>20009.17266</v>
      </c>
      <c r="T24" s="68">
        <f t="shared" si="6"/>
        <v>20009.17266</v>
      </c>
      <c r="U24" s="71">
        <f t="shared" ref="U24:V24" si="87">R24*0.55</f>
        <v>0</v>
      </c>
      <c r="V24" s="71">
        <f t="shared" si="87"/>
        <v>11005.04496</v>
      </c>
      <c r="W24" s="68">
        <f t="shared" si="8"/>
        <v>11005.04496</v>
      </c>
      <c r="X24" s="71">
        <f t="shared" ref="X24:Y24" si="88">U24/0.95</f>
        <v>0</v>
      </c>
      <c r="Y24" s="71">
        <f t="shared" si="88"/>
        <v>11584.25786</v>
      </c>
      <c r="Z24" s="68">
        <f t="shared" si="10"/>
        <v>11584.25786</v>
      </c>
      <c r="AA24" s="71">
        <v>0.0</v>
      </c>
      <c r="AB24" s="71">
        <v>10542.4778</v>
      </c>
      <c r="AC24" s="68">
        <f t="shared" si="11"/>
        <v>10542.4778</v>
      </c>
      <c r="AD24" s="71">
        <f t="shared" ref="AD24:AE24" si="89">AA24*0.95</f>
        <v>0</v>
      </c>
      <c r="AE24" s="71">
        <f t="shared" si="89"/>
        <v>10015.35391</v>
      </c>
      <c r="AF24" s="68">
        <f t="shared" si="13"/>
        <v>10015.35391</v>
      </c>
      <c r="AG24" s="71">
        <v>0.0</v>
      </c>
      <c r="AH24" s="71">
        <v>382.0</v>
      </c>
      <c r="AI24" s="68">
        <f t="shared" si="14"/>
        <v>382</v>
      </c>
      <c r="AJ24" s="71">
        <f t="shared" ref="AJ24:AK24" si="90">AG24/1.05506</f>
        <v>0</v>
      </c>
      <c r="AK24" s="71">
        <f t="shared" si="90"/>
        <v>362.0647167</v>
      </c>
      <c r="AL24" s="68">
        <f t="shared" si="16"/>
        <v>362.0647167</v>
      </c>
    </row>
    <row r="25" ht="14.25" customHeight="1">
      <c r="B25" s="69">
        <v>45549.0</v>
      </c>
      <c r="C25" s="70"/>
      <c r="D25" s="70"/>
      <c r="E25" s="68">
        <f t="shared" si="1"/>
        <v>0</v>
      </c>
      <c r="F25" s="71">
        <v>0.0</v>
      </c>
      <c r="G25" s="72">
        <v>1225.0</v>
      </c>
      <c r="H25" s="68">
        <f t="shared" si="17"/>
        <v>1225</v>
      </c>
      <c r="I25" s="73">
        <f t="shared" ref="I25:J25" si="91">F25*55000*0.35/1000/0.55</f>
        <v>0</v>
      </c>
      <c r="J25" s="73">
        <f t="shared" si="91"/>
        <v>42875</v>
      </c>
      <c r="K25" s="68">
        <f t="shared" si="19"/>
        <v>42875</v>
      </c>
      <c r="L25" s="71">
        <v>0.0</v>
      </c>
      <c r="M25" s="71">
        <v>23116.0</v>
      </c>
      <c r="N25" s="68">
        <f t="shared" si="3"/>
        <v>23116</v>
      </c>
      <c r="O25" s="71">
        <v>0.0</v>
      </c>
      <c r="P25" s="71">
        <v>3870.863309352518</v>
      </c>
      <c r="Q25" s="68">
        <f t="shared" si="4"/>
        <v>3870.863309</v>
      </c>
      <c r="R25" s="71">
        <f t="shared" ref="R25:S25" si="92">L25-O25</f>
        <v>0</v>
      </c>
      <c r="S25" s="71">
        <f t="shared" si="92"/>
        <v>19245.13669</v>
      </c>
      <c r="T25" s="68">
        <f t="shared" si="6"/>
        <v>19245.13669</v>
      </c>
      <c r="U25" s="71">
        <f t="shared" ref="U25:V25" si="93">R25*0.55</f>
        <v>0</v>
      </c>
      <c r="V25" s="71">
        <f t="shared" si="93"/>
        <v>10584.82518</v>
      </c>
      <c r="W25" s="68">
        <f t="shared" si="8"/>
        <v>10584.82518</v>
      </c>
      <c r="X25" s="71">
        <f t="shared" ref="X25:Y25" si="94">U25/0.95</f>
        <v>0</v>
      </c>
      <c r="Y25" s="71">
        <f t="shared" si="94"/>
        <v>11141.92124</v>
      </c>
      <c r="Z25" s="68">
        <f t="shared" si="10"/>
        <v>11141.92124</v>
      </c>
      <c r="AA25" s="71">
        <v>0.0</v>
      </c>
      <c r="AB25" s="71">
        <v>10714.3272</v>
      </c>
      <c r="AC25" s="68">
        <f t="shared" si="11"/>
        <v>10714.3272</v>
      </c>
      <c r="AD25" s="71">
        <f t="shared" ref="AD25:AE25" si="95">AA25*0.95</f>
        <v>0</v>
      </c>
      <c r="AE25" s="71">
        <f t="shared" si="95"/>
        <v>10178.61084</v>
      </c>
      <c r="AF25" s="68">
        <f t="shared" si="13"/>
        <v>10178.61084</v>
      </c>
      <c r="AG25" s="71">
        <v>0.0</v>
      </c>
      <c r="AH25" s="71">
        <v>387.0</v>
      </c>
      <c r="AI25" s="68">
        <f t="shared" si="14"/>
        <v>387</v>
      </c>
      <c r="AJ25" s="71">
        <f t="shared" ref="AJ25:AK25" si="96">AG25/1.05506</f>
        <v>0</v>
      </c>
      <c r="AK25" s="71">
        <f t="shared" si="96"/>
        <v>366.8037837</v>
      </c>
      <c r="AL25" s="68">
        <f t="shared" si="16"/>
        <v>366.8037837</v>
      </c>
    </row>
    <row r="26" ht="14.25" customHeight="1">
      <c r="B26" s="69">
        <v>45550.0</v>
      </c>
      <c r="C26" s="70"/>
      <c r="D26" s="70"/>
      <c r="E26" s="68">
        <f t="shared" si="1"/>
        <v>0</v>
      </c>
      <c r="F26" s="71">
        <v>0.0</v>
      </c>
      <c r="G26" s="72">
        <v>250.0</v>
      </c>
      <c r="H26" s="68">
        <f t="shared" si="17"/>
        <v>250</v>
      </c>
      <c r="I26" s="73">
        <f t="shared" ref="I26:J26" si="97">F26*55000*0.35/1000/0.55</f>
        <v>0</v>
      </c>
      <c r="J26" s="73">
        <f t="shared" si="97"/>
        <v>8750</v>
      </c>
      <c r="K26" s="68">
        <f t="shared" si="19"/>
        <v>8750</v>
      </c>
      <c r="L26" s="71">
        <v>0.0</v>
      </c>
      <c r="M26" s="71">
        <v>23232.0</v>
      </c>
      <c r="N26" s="68">
        <f t="shared" si="3"/>
        <v>23232</v>
      </c>
      <c r="O26" s="71">
        <v>0.0</v>
      </c>
      <c r="P26" s="71">
        <v>3199.640287769784</v>
      </c>
      <c r="Q26" s="68">
        <f t="shared" si="4"/>
        <v>3199.640288</v>
      </c>
      <c r="R26" s="71">
        <f t="shared" ref="R26:S26" si="98">L26-O26</f>
        <v>0</v>
      </c>
      <c r="S26" s="71">
        <f t="shared" si="98"/>
        <v>20032.35971</v>
      </c>
      <c r="T26" s="68">
        <f t="shared" si="6"/>
        <v>20032.35971</v>
      </c>
      <c r="U26" s="71">
        <f t="shared" ref="U26:V26" si="99">R26*0.55</f>
        <v>0</v>
      </c>
      <c r="V26" s="71">
        <f t="shared" si="99"/>
        <v>11017.79784</v>
      </c>
      <c r="W26" s="68">
        <f t="shared" si="8"/>
        <v>11017.79784</v>
      </c>
      <c r="X26" s="71">
        <f t="shared" ref="X26:Y26" si="100">U26/0.95</f>
        <v>0</v>
      </c>
      <c r="Y26" s="71">
        <f t="shared" si="100"/>
        <v>11597.68194</v>
      </c>
      <c r="Z26" s="68">
        <f t="shared" si="10"/>
        <v>11597.68194</v>
      </c>
      <c r="AA26" s="71">
        <v>0.0</v>
      </c>
      <c r="AB26" s="71">
        <v>10812.7906</v>
      </c>
      <c r="AC26" s="68">
        <f t="shared" si="11"/>
        <v>10812.7906</v>
      </c>
      <c r="AD26" s="71">
        <f t="shared" ref="AD26:AE26" si="101">AA26*0.95</f>
        <v>0</v>
      </c>
      <c r="AE26" s="71">
        <f t="shared" si="101"/>
        <v>10272.15107</v>
      </c>
      <c r="AF26" s="68">
        <f t="shared" si="13"/>
        <v>10272.15107</v>
      </c>
      <c r="AG26" s="71">
        <v>0.0</v>
      </c>
      <c r="AH26" s="71">
        <v>391.0</v>
      </c>
      <c r="AI26" s="68">
        <f t="shared" si="14"/>
        <v>391</v>
      </c>
      <c r="AJ26" s="71">
        <f t="shared" ref="AJ26:AK26" si="102">AG26/1.05506</f>
        <v>0</v>
      </c>
      <c r="AK26" s="71">
        <f t="shared" si="102"/>
        <v>370.5950372</v>
      </c>
      <c r="AL26" s="68">
        <f t="shared" si="16"/>
        <v>370.5950372</v>
      </c>
    </row>
    <row r="27" ht="14.25" customHeight="1">
      <c r="B27" s="69">
        <v>45551.0</v>
      </c>
      <c r="C27" s="70"/>
      <c r="D27" s="70"/>
      <c r="E27" s="68">
        <f t="shared" si="1"/>
        <v>0</v>
      </c>
      <c r="F27" s="71">
        <v>0.0</v>
      </c>
      <c r="G27" s="72">
        <v>822.0</v>
      </c>
      <c r="H27" s="68">
        <f t="shared" si="17"/>
        <v>822</v>
      </c>
      <c r="I27" s="73">
        <f t="shared" ref="I27:J27" si="103">F27*55000*0.35/1000/0.55</f>
        <v>0</v>
      </c>
      <c r="J27" s="73">
        <f t="shared" si="103"/>
        <v>28770</v>
      </c>
      <c r="K27" s="68">
        <f t="shared" si="19"/>
        <v>28770</v>
      </c>
      <c r="L27" s="71">
        <v>0.0</v>
      </c>
      <c r="M27" s="71">
        <v>23127.0</v>
      </c>
      <c r="N27" s="68">
        <f t="shared" si="3"/>
        <v>23127</v>
      </c>
      <c r="O27" s="71">
        <v>0.0</v>
      </c>
      <c r="P27" s="71">
        <v>3300.719424460432</v>
      </c>
      <c r="Q27" s="68">
        <f t="shared" si="4"/>
        <v>3300.719424</v>
      </c>
      <c r="R27" s="71">
        <f t="shared" ref="R27:S27" si="104">L27-O27</f>
        <v>0</v>
      </c>
      <c r="S27" s="71">
        <f t="shared" si="104"/>
        <v>19826.28058</v>
      </c>
      <c r="T27" s="68">
        <f t="shared" si="6"/>
        <v>19826.28058</v>
      </c>
      <c r="U27" s="71">
        <f t="shared" ref="U27:V27" si="105">R27*0.55</f>
        <v>0</v>
      </c>
      <c r="V27" s="71">
        <f t="shared" si="105"/>
        <v>10904.45432</v>
      </c>
      <c r="W27" s="68">
        <f t="shared" si="8"/>
        <v>10904.45432</v>
      </c>
      <c r="X27" s="71">
        <f t="shared" ref="X27:Y27" si="106">U27/0.95</f>
        <v>0</v>
      </c>
      <c r="Y27" s="71">
        <f t="shared" si="106"/>
        <v>11478.37296</v>
      </c>
      <c r="Z27" s="68">
        <f t="shared" si="10"/>
        <v>11478.37296</v>
      </c>
      <c r="AA27" s="71">
        <v>0.0</v>
      </c>
      <c r="AB27" s="71">
        <v>10912.4301</v>
      </c>
      <c r="AC27" s="68">
        <f t="shared" si="11"/>
        <v>10912.4301</v>
      </c>
      <c r="AD27" s="71">
        <f t="shared" ref="AD27:AE27" si="107">AA27*0.95</f>
        <v>0</v>
      </c>
      <c r="AE27" s="71">
        <f t="shared" si="107"/>
        <v>10366.8086</v>
      </c>
      <c r="AF27" s="68">
        <f t="shared" si="13"/>
        <v>10366.8086</v>
      </c>
      <c r="AG27" s="71">
        <v>0.0</v>
      </c>
      <c r="AH27" s="71">
        <v>394.0</v>
      </c>
      <c r="AI27" s="68">
        <f t="shared" si="14"/>
        <v>394</v>
      </c>
      <c r="AJ27" s="71">
        <f t="shared" ref="AJ27:AK27" si="108">AG27/1.05506</f>
        <v>0</v>
      </c>
      <c r="AK27" s="71">
        <f t="shared" si="108"/>
        <v>373.4384774</v>
      </c>
      <c r="AL27" s="68">
        <f t="shared" si="16"/>
        <v>373.4384774</v>
      </c>
    </row>
    <row r="28" ht="14.25" customHeight="1">
      <c r="B28" s="69">
        <v>45552.0</v>
      </c>
      <c r="C28" s="70"/>
      <c r="D28" s="70"/>
      <c r="E28" s="68">
        <f t="shared" si="1"/>
        <v>0</v>
      </c>
      <c r="F28" s="71">
        <v>0.0</v>
      </c>
      <c r="G28" s="72">
        <v>1207.0</v>
      </c>
      <c r="H28" s="68">
        <f t="shared" si="17"/>
        <v>1207</v>
      </c>
      <c r="I28" s="73">
        <f t="shared" ref="I28:J28" si="109">F28*55000*0.35/1000/0.55</f>
        <v>0</v>
      </c>
      <c r="J28" s="73">
        <f t="shared" si="109"/>
        <v>42245</v>
      </c>
      <c r="K28" s="68">
        <f t="shared" si="19"/>
        <v>42245</v>
      </c>
      <c r="L28" s="71">
        <v>0.0</v>
      </c>
      <c r="M28" s="71">
        <v>23194.0</v>
      </c>
      <c r="N28" s="68">
        <f t="shared" si="3"/>
        <v>23194</v>
      </c>
      <c r="O28" s="71">
        <v>0.0</v>
      </c>
      <c r="P28" s="71">
        <v>3606.1151079136694</v>
      </c>
      <c r="Q28" s="68">
        <f t="shared" si="4"/>
        <v>3606.115108</v>
      </c>
      <c r="R28" s="71">
        <f t="shared" ref="R28:S28" si="110">L28-O28</f>
        <v>0</v>
      </c>
      <c r="S28" s="71">
        <f t="shared" si="110"/>
        <v>19587.88489</v>
      </c>
      <c r="T28" s="68">
        <f t="shared" si="6"/>
        <v>19587.88489</v>
      </c>
      <c r="U28" s="71">
        <f t="shared" ref="U28:V28" si="111">R28*0.55</f>
        <v>0</v>
      </c>
      <c r="V28" s="71">
        <f t="shared" si="111"/>
        <v>10773.33669</v>
      </c>
      <c r="W28" s="68">
        <f t="shared" si="8"/>
        <v>10773.33669</v>
      </c>
      <c r="X28" s="71">
        <f t="shared" ref="X28:Y28" si="112">U28/0.95</f>
        <v>0</v>
      </c>
      <c r="Y28" s="71">
        <f t="shared" si="112"/>
        <v>11340.35441</v>
      </c>
      <c r="Z28" s="68">
        <f t="shared" si="10"/>
        <v>11340.35441</v>
      </c>
      <c r="AA28" s="71">
        <v>0.0</v>
      </c>
      <c r="AB28" s="71">
        <v>10642.0364</v>
      </c>
      <c r="AC28" s="68">
        <f t="shared" si="11"/>
        <v>10642.0364</v>
      </c>
      <c r="AD28" s="71">
        <f t="shared" ref="AD28:AE28" si="113">AA28*0.95</f>
        <v>0</v>
      </c>
      <c r="AE28" s="71">
        <f t="shared" si="113"/>
        <v>10109.93458</v>
      </c>
      <c r="AF28" s="68">
        <f t="shared" si="13"/>
        <v>10109.93458</v>
      </c>
      <c r="AG28" s="71">
        <v>0.0</v>
      </c>
      <c r="AH28" s="71">
        <v>384.0</v>
      </c>
      <c r="AI28" s="68">
        <f t="shared" si="14"/>
        <v>384</v>
      </c>
      <c r="AJ28" s="71">
        <f t="shared" ref="AJ28:AK28" si="114">AG28/1.05506</f>
        <v>0</v>
      </c>
      <c r="AK28" s="71">
        <f t="shared" si="114"/>
        <v>363.9603435</v>
      </c>
      <c r="AL28" s="68">
        <f t="shared" si="16"/>
        <v>363.9603435</v>
      </c>
    </row>
    <row r="29" ht="14.25" customHeight="1">
      <c r="B29" s="69">
        <v>45553.0</v>
      </c>
      <c r="C29" s="70"/>
      <c r="D29" s="70"/>
      <c r="E29" s="68">
        <f t="shared" si="1"/>
        <v>0</v>
      </c>
      <c r="F29" s="71">
        <v>0.0</v>
      </c>
      <c r="G29" s="72">
        <v>1251.0</v>
      </c>
      <c r="H29" s="68">
        <f t="shared" si="17"/>
        <v>1251</v>
      </c>
      <c r="I29" s="73">
        <f t="shared" ref="I29:J29" si="115">F29*55000*0.35/1000/0.55</f>
        <v>0</v>
      </c>
      <c r="J29" s="73">
        <f t="shared" si="115"/>
        <v>43785</v>
      </c>
      <c r="K29" s="68">
        <f t="shared" si="19"/>
        <v>43785</v>
      </c>
      <c r="L29" s="71">
        <v>0.0</v>
      </c>
      <c r="M29" s="71">
        <v>23476.0</v>
      </c>
      <c r="N29" s="68">
        <f t="shared" si="3"/>
        <v>23476</v>
      </c>
      <c r="O29" s="71">
        <v>0.0</v>
      </c>
      <c r="P29" s="71">
        <v>3584.172661870504</v>
      </c>
      <c r="Q29" s="68">
        <f t="shared" si="4"/>
        <v>3584.172662</v>
      </c>
      <c r="R29" s="71">
        <f t="shared" ref="R29:S29" si="116">L29-O29</f>
        <v>0</v>
      </c>
      <c r="S29" s="71">
        <f t="shared" si="116"/>
        <v>19891.82734</v>
      </c>
      <c r="T29" s="68">
        <f t="shared" si="6"/>
        <v>19891.82734</v>
      </c>
      <c r="U29" s="71">
        <f t="shared" ref="U29:V29" si="117">R29*0.55</f>
        <v>0</v>
      </c>
      <c r="V29" s="71">
        <f t="shared" si="117"/>
        <v>10940.50504</v>
      </c>
      <c r="W29" s="68">
        <f t="shared" si="8"/>
        <v>10940.50504</v>
      </c>
      <c r="X29" s="71">
        <f t="shared" ref="X29:Y29" si="118">U29/0.95</f>
        <v>0</v>
      </c>
      <c r="Y29" s="71">
        <f t="shared" si="118"/>
        <v>11516.32109</v>
      </c>
      <c r="Z29" s="68">
        <f t="shared" si="10"/>
        <v>11516.32109</v>
      </c>
      <c r="AA29" s="71">
        <v>0.0</v>
      </c>
      <c r="AB29" s="71">
        <v>10991.8473</v>
      </c>
      <c r="AC29" s="68">
        <f t="shared" si="11"/>
        <v>10991.8473</v>
      </c>
      <c r="AD29" s="71">
        <f t="shared" ref="AD29:AE29" si="119">AA29*0.95</f>
        <v>0</v>
      </c>
      <c r="AE29" s="71">
        <f t="shared" si="119"/>
        <v>10442.25494</v>
      </c>
      <c r="AF29" s="68">
        <f t="shared" si="13"/>
        <v>10442.25494</v>
      </c>
      <c r="AG29" s="71">
        <v>0.0</v>
      </c>
      <c r="AH29" s="71">
        <v>397.0</v>
      </c>
      <c r="AI29" s="68">
        <f t="shared" si="14"/>
        <v>397</v>
      </c>
      <c r="AJ29" s="71">
        <f t="shared" ref="AJ29:AK29" si="120">AG29/1.05506</f>
        <v>0</v>
      </c>
      <c r="AK29" s="71">
        <f t="shared" si="120"/>
        <v>376.2819176</v>
      </c>
      <c r="AL29" s="68">
        <f t="shared" si="16"/>
        <v>376.2819176</v>
      </c>
    </row>
    <row r="30" ht="14.25" customHeight="1">
      <c r="B30" s="69">
        <v>45554.0</v>
      </c>
      <c r="C30" s="70"/>
      <c r="D30" s="70"/>
      <c r="E30" s="68">
        <f t="shared" si="1"/>
        <v>0</v>
      </c>
      <c r="F30" s="71">
        <v>0.0</v>
      </c>
      <c r="G30" s="72">
        <v>1300.0</v>
      </c>
      <c r="H30" s="68">
        <f t="shared" si="17"/>
        <v>1300</v>
      </c>
      <c r="I30" s="73">
        <f t="shared" ref="I30:J30" si="121">F30*55000*0.35/1000/0.55</f>
        <v>0</v>
      </c>
      <c r="J30" s="73">
        <f t="shared" si="121"/>
        <v>45500</v>
      </c>
      <c r="K30" s="68">
        <f t="shared" si="19"/>
        <v>45500</v>
      </c>
      <c r="L30" s="71">
        <v>0.0</v>
      </c>
      <c r="M30" s="71">
        <v>23025.0</v>
      </c>
      <c r="N30" s="68">
        <f t="shared" si="3"/>
        <v>23025</v>
      </c>
      <c r="O30" s="71">
        <v>0.0</v>
      </c>
      <c r="P30" s="71">
        <v>3543.5251798561153</v>
      </c>
      <c r="Q30" s="68">
        <f t="shared" si="4"/>
        <v>3543.52518</v>
      </c>
      <c r="R30" s="71">
        <f t="shared" ref="R30:S30" si="122">L30-O30</f>
        <v>0</v>
      </c>
      <c r="S30" s="71">
        <f t="shared" si="122"/>
        <v>19481.47482</v>
      </c>
      <c r="T30" s="68">
        <f t="shared" si="6"/>
        <v>19481.47482</v>
      </c>
      <c r="U30" s="71">
        <f t="shared" ref="U30:V30" si="123">R30*0.55</f>
        <v>0</v>
      </c>
      <c r="V30" s="71">
        <f t="shared" si="123"/>
        <v>10714.81115</v>
      </c>
      <c r="W30" s="68">
        <f t="shared" si="8"/>
        <v>10714.81115</v>
      </c>
      <c r="X30" s="71">
        <f t="shared" ref="X30:Y30" si="124">U30/0.95</f>
        <v>0</v>
      </c>
      <c r="Y30" s="71">
        <f t="shared" si="124"/>
        <v>11278.74858</v>
      </c>
      <c r="Z30" s="68">
        <f t="shared" si="10"/>
        <v>11278.74858</v>
      </c>
      <c r="AA30" s="71">
        <v>0.0</v>
      </c>
      <c r="AB30" s="71">
        <v>10954.4236</v>
      </c>
      <c r="AC30" s="68">
        <f t="shared" si="11"/>
        <v>10954.4236</v>
      </c>
      <c r="AD30" s="71">
        <f t="shared" ref="AD30:AE30" si="125">AA30*0.95</f>
        <v>0</v>
      </c>
      <c r="AE30" s="71">
        <f t="shared" si="125"/>
        <v>10406.70242</v>
      </c>
      <c r="AF30" s="68">
        <f t="shared" si="13"/>
        <v>10406.70242</v>
      </c>
      <c r="AG30" s="71">
        <v>0.0</v>
      </c>
      <c r="AH30" s="71">
        <v>393.0</v>
      </c>
      <c r="AI30" s="68">
        <f t="shared" si="14"/>
        <v>393</v>
      </c>
      <c r="AJ30" s="71">
        <f t="shared" ref="AJ30:AK30" si="126">AG30/1.05506</f>
        <v>0</v>
      </c>
      <c r="AK30" s="71">
        <f t="shared" si="126"/>
        <v>372.490664</v>
      </c>
      <c r="AL30" s="68">
        <f t="shared" si="16"/>
        <v>372.490664</v>
      </c>
    </row>
    <row r="31" ht="14.25" customHeight="1">
      <c r="B31" s="69">
        <v>45555.0</v>
      </c>
      <c r="C31" s="70"/>
      <c r="D31" s="70"/>
      <c r="E31" s="68">
        <f t="shared" si="1"/>
        <v>0</v>
      </c>
      <c r="F31" s="71">
        <v>0.0</v>
      </c>
      <c r="G31" s="72">
        <v>1338.0</v>
      </c>
      <c r="H31" s="68">
        <f t="shared" si="17"/>
        <v>1338</v>
      </c>
      <c r="I31" s="73">
        <f t="shared" ref="I31:J31" si="127">F31*55000*0.35/1000/0.55</f>
        <v>0</v>
      </c>
      <c r="J31" s="73">
        <f t="shared" si="127"/>
        <v>46830</v>
      </c>
      <c r="K31" s="68">
        <f t="shared" si="19"/>
        <v>46830</v>
      </c>
      <c r="L31" s="71">
        <v>0.0</v>
      </c>
      <c r="M31" s="71">
        <v>22804.0</v>
      </c>
      <c r="N31" s="68">
        <f t="shared" si="3"/>
        <v>22804</v>
      </c>
      <c r="O31" s="71">
        <v>0.0</v>
      </c>
      <c r="P31" s="71">
        <v>3620.1438848920866</v>
      </c>
      <c r="Q31" s="68">
        <f t="shared" si="4"/>
        <v>3620.143885</v>
      </c>
      <c r="R31" s="71">
        <f t="shared" ref="R31:S31" si="128">L31-O31</f>
        <v>0</v>
      </c>
      <c r="S31" s="71">
        <f t="shared" si="128"/>
        <v>19183.85612</v>
      </c>
      <c r="T31" s="68">
        <f t="shared" si="6"/>
        <v>19183.85612</v>
      </c>
      <c r="U31" s="71">
        <f t="shared" ref="U31:V31" si="129">R31*0.55</f>
        <v>0</v>
      </c>
      <c r="V31" s="71">
        <f t="shared" si="129"/>
        <v>10551.12086</v>
      </c>
      <c r="W31" s="68">
        <f t="shared" si="8"/>
        <v>10551.12086</v>
      </c>
      <c r="X31" s="71">
        <f t="shared" ref="X31:Y31" si="130">U31/0.95</f>
        <v>0</v>
      </c>
      <c r="Y31" s="71">
        <f t="shared" si="130"/>
        <v>11106.44301</v>
      </c>
      <c r="Z31" s="68">
        <f t="shared" si="10"/>
        <v>11106.44301</v>
      </c>
      <c r="AA31" s="71">
        <v>0.0</v>
      </c>
      <c r="AB31" s="71">
        <v>8229.0481</v>
      </c>
      <c r="AC31" s="68">
        <f t="shared" si="11"/>
        <v>8229.0481</v>
      </c>
      <c r="AD31" s="71">
        <f t="shared" ref="AD31:AE31" si="131">AA31*0.95</f>
        <v>0</v>
      </c>
      <c r="AE31" s="71">
        <f t="shared" si="131"/>
        <v>7817.595695</v>
      </c>
      <c r="AF31" s="68">
        <f t="shared" si="13"/>
        <v>7817.595695</v>
      </c>
      <c r="AG31" s="71">
        <v>0.0</v>
      </c>
      <c r="AH31" s="71">
        <v>297.0</v>
      </c>
      <c r="AI31" s="68">
        <f t="shared" si="14"/>
        <v>297</v>
      </c>
      <c r="AJ31" s="71">
        <f t="shared" ref="AJ31:AK31" si="132">AG31/1.05506</f>
        <v>0</v>
      </c>
      <c r="AK31" s="71">
        <f t="shared" si="132"/>
        <v>281.5005782</v>
      </c>
      <c r="AL31" s="68">
        <f t="shared" si="16"/>
        <v>281.5005782</v>
      </c>
    </row>
    <row r="32" ht="14.25" customHeight="1">
      <c r="B32" s="69">
        <v>45556.0</v>
      </c>
      <c r="C32" s="70"/>
      <c r="D32" s="70"/>
      <c r="E32" s="68">
        <f t="shared" si="1"/>
        <v>0</v>
      </c>
      <c r="F32" s="71">
        <v>0.0</v>
      </c>
      <c r="G32" s="72">
        <v>1332.0</v>
      </c>
      <c r="H32" s="68">
        <f t="shared" si="17"/>
        <v>1332</v>
      </c>
      <c r="I32" s="73">
        <f t="shared" ref="I32:J32" si="133">F32*55000*0.35/1000/0.55</f>
        <v>0</v>
      </c>
      <c r="J32" s="73">
        <f t="shared" si="133"/>
        <v>46620</v>
      </c>
      <c r="K32" s="68">
        <f t="shared" si="19"/>
        <v>46620</v>
      </c>
      <c r="L32" s="71">
        <v>0.0</v>
      </c>
      <c r="M32" s="71">
        <v>23190.0</v>
      </c>
      <c r="N32" s="68">
        <f t="shared" si="3"/>
        <v>23190</v>
      </c>
      <c r="O32" s="71">
        <v>0.0</v>
      </c>
      <c r="P32" s="71">
        <v>3226.6187050359713</v>
      </c>
      <c r="Q32" s="68">
        <f t="shared" si="4"/>
        <v>3226.618705</v>
      </c>
      <c r="R32" s="71">
        <f t="shared" ref="R32:S32" si="134">L32-O32</f>
        <v>0</v>
      </c>
      <c r="S32" s="71">
        <f t="shared" si="134"/>
        <v>19963.38129</v>
      </c>
      <c r="T32" s="68">
        <f t="shared" si="6"/>
        <v>19963.38129</v>
      </c>
      <c r="U32" s="71">
        <f t="shared" ref="U32:V32" si="135">R32*0.55</f>
        <v>0</v>
      </c>
      <c r="V32" s="71">
        <f t="shared" si="135"/>
        <v>10979.85971</v>
      </c>
      <c r="W32" s="68">
        <f t="shared" si="8"/>
        <v>10979.85971</v>
      </c>
      <c r="X32" s="71">
        <f t="shared" ref="X32:Y32" si="136">U32/0.95</f>
        <v>0</v>
      </c>
      <c r="Y32" s="71">
        <f t="shared" si="136"/>
        <v>11557.74707</v>
      </c>
      <c r="Z32" s="68">
        <f t="shared" si="10"/>
        <v>11557.74707</v>
      </c>
      <c r="AA32" s="71">
        <v>0.0</v>
      </c>
      <c r="AB32" s="71">
        <v>8234.3445</v>
      </c>
      <c r="AC32" s="68">
        <f t="shared" si="11"/>
        <v>8234.3445</v>
      </c>
      <c r="AD32" s="71">
        <f t="shared" ref="AD32:AE32" si="137">AA32*0.95</f>
        <v>0</v>
      </c>
      <c r="AE32" s="71">
        <f t="shared" si="137"/>
        <v>7822.627275</v>
      </c>
      <c r="AF32" s="68">
        <f t="shared" si="13"/>
        <v>7822.627275</v>
      </c>
      <c r="AG32" s="71">
        <v>0.0</v>
      </c>
      <c r="AH32" s="71">
        <v>297.0</v>
      </c>
      <c r="AI32" s="68">
        <f t="shared" si="14"/>
        <v>297</v>
      </c>
      <c r="AJ32" s="71">
        <f t="shared" ref="AJ32:AK32" si="138">AG32/1.05506</f>
        <v>0</v>
      </c>
      <c r="AK32" s="71">
        <f t="shared" si="138"/>
        <v>281.5005782</v>
      </c>
      <c r="AL32" s="68">
        <f t="shared" si="16"/>
        <v>281.5005782</v>
      </c>
    </row>
    <row r="33" ht="14.25" customHeight="1">
      <c r="B33" s="69">
        <v>45557.0</v>
      </c>
      <c r="C33" s="70"/>
      <c r="D33" s="70"/>
      <c r="E33" s="68">
        <f t="shared" si="1"/>
        <v>0</v>
      </c>
      <c r="F33" s="71">
        <v>0.0</v>
      </c>
      <c r="G33" s="72">
        <v>813.0</v>
      </c>
      <c r="H33" s="68">
        <f t="shared" si="17"/>
        <v>813</v>
      </c>
      <c r="I33" s="73">
        <f t="shared" ref="I33:J33" si="139">F33*55000*0.35/1000/0.55</f>
        <v>0</v>
      </c>
      <c r="J33" s="73">
        <f t="shared" si="139"/>
        <v>28455</v>
      </c>
      <c r="K33" s="68">
        <f t="shared" si="19"/>
        <v>28455</v>
      </c>
      <c r="L33" s="71">
        <v>0.0</v>
      </c>
      <c r="M33" s="71">
        <v>23437.0</v>
      </c>
      <c r="N33" s="68">
        <f t="shared" si="3"/>
        <v>23437</v>
      </c>
      <c r="O33" s="71">
        <v>0.0</v>
      </c>
      <c r="P33" s="71">
        <v>3284.172661870504</v>
      </c>
      <c r="Q33" s="68">
        <f t="shared" si="4"/>
        <v>3284.172662</v>
      </c>
      <c r="R33" s="71">
        <f t="shared" ref="R33:S33" si="140">L33-O33</f>
        <v>0</v>
      </c>
      <c r="S33" s="71">
        <f t="shared" si="140"/>
        <v>20152.82734</v>
      </c>
      <c r="T33" s="68">
        <f t="shared" si="6"/>
        <v>20152.82734</v>
      </c>
      <c r="U33" s="71">
        <f t="shared" ref="U33:V33" si="141">R33*0.55</f>
        <v>0</v>
      </c>
      <c r="V33" s="71">
        <f t="shared" si="141"/>
        <v>11084.05504</v>
      </c>
      <c r="W33" s="68">
        <f t="shared" si="8"/>
        <v>11084.05504</v>
      </c>
      <c r="X33" s="71">
        <f t="shared" ref="X33:Y33" si="142">U33/0.95</f>
        <v>0</v>
      </c>
      <c r="Y33" s="71">
        <f t="shared" si="142"/>
        <v>11667.42635</v>
      </c>
      <c r="Z33" s="68">
        <f t="shared" si="10"/>
        <v>11667.42635</v>
      </c>
      <c r="AA33" s="71">
        <v>0.0</v>
      </c>
      <c r="AB33" s="71">
        <v>10621.9688</v>
      </c>
      <c r="AC33" s="68">
        <f t="shared" si="11"/>
        <v>10621.9688</v>
      </c>
      <c r="AD33" s="71">
        <f t="shared" ref="AD33:AE33" si="143">AA33*0.95</f>
        <v>0</v>
      </c>
      <c r="AE33" s="71">
        <f t="shared" si="143"/>
        <v>10090.87036</v>
      </c>
      <c r="AF33" s="68">
        <f t="shared" si="13"/>
        <v>10090.87036</v>
      </c>
      <c r="AG33" s="71">
        <v>0.0</v>
      </c>
      <c r="AH33" s="71">
        <v>381.0</v>
      </c>
      <c r="AI33" s="68">
        <f t="shared" si="14"/>
        <v>381</v>
      </c>
      <c r="AJ33" s="71">
        <f t="shared" ref="AJ33:AK33" si="144">AG33/1.05506</f>
        <v>0</v>
      </c>
      <c r="AK33" s="71">
        <f t="shared" si="144"/>
        <v>361.1169033</v>
      </c>
      <c r="AL33" s="68">
        <f t="shared" si="16"/>
        <v>361.1169033</v>
      </c>
    </row>
    <row r="34" ht="14.25" customHeight="1">
      <c r="B34" s="69">
        <v>45558.0</v>
      </c>
      <c r="C34" s="70"/>
      <c r="D34" s="70"/>
      <c r="E34" s="68">
        <f t="shared" si="1"/>
        <v>0</v>
      </c>
      <c r="F34" s="71">
        <v>0.0</v>
      </c>
      <c r="G34" s="72">
        <v>1568.0</v>
      </c>
      <c r="H34" s="68">
        <f t="shared" si="17"/>
        <v>1568</v>
      </c>
      <c r="I34" s="73">
        <f t="shared" ref="I34:J34" si="145">F34*55000*0.35/1000/0.55</f>
        <v>0</v>
      </c>
      <c r="J34" s="73">
        <f t="shared" si="145"/>
        <v>54880</v>
      </c>
      <c r="K34" s="68">
        <f t="shared" si="19"/>
        <v>54880</v>
      </c>
      <c r="L34" s="71">
        <v>0.0</v>
      </c>
      <c r="M34" s="71">
        <v>22998.0</v>
      </c>
      <c r="N34" s="68">
        <f t="shared" si="3"/>
        <v>22998</v>
      </c>
      <c r="O34" s="71">
        <v>0.0</v>
      </c>
      <c r="P34" s="71">
        <v>3994.6043165467627</v>
      </c>
      <c r="Q34" s="68">
        <f t="shared" si="4"/>
        <v>3994.604317</v>
      </c>
      <c r="R34" s="71">
        <f t="shared" ref="R34:S34" si="146">L34-O34</f>
        <v>0</v>
      </c>
      <c r="S34" s="71">
        <f t="shared" si="146"/>
        <v>19003.39568</v>
      </c>
      <c r="T34" s="68">
        <f t="shared" si="6"/>
        <v>19003.39568</v>
      </c>
      <c r="U34" s="71">
        <f t="shared" ref="U34:V34" si="147">R34*0.55</f>
        <v>0</v>
      </c>
      <c r="V34" s="71">
        <f t="shared" si="147"/>
        <v>10451.86763</v>
      </c>
      <c r="W34" s="68">
        <f t="shared" si="8"/>
        <v>10451.86763</v>
      </c>
      <c r="X34" s="71">
        <f t="shared" ref="X34:Y34" si="148">U34/0.95</f>
        <v>0</v>
      </c>
      <c r="Y34" s="71">
        <f t="shared" si="148"/>
        <v>11001.96592</v>
      </c>
      <c r="Z34" s="68">
        <f t="shared" si="10"/>
        <v>11001.96592</v>
      </c>
      <c r="AA34" s="71">
        <v>0.0</v>
      </c>
      <c r="AB34" s="71">
        <v>10562.3184</v>
      </c>
      <c r="AC34" s="68">
        <f t="shared" si="11"/>
        <v>10562.3184</v>
      </c>
      <c r="AD34" s="71">
        <f t="shared" ref="AD34:AE34" si="149">AA34*0.95</f>
        <v>0</v>
      </c>
      <c r="AE34" s="71">
        <f t="shared" si="149"/>
        <v>10034.20248</v>
      </c>
      <c r="AF34" s="68">
        <f t="shared" si="13"/>
        <v>10034.20248</v>
      </c>
      <c r="AG34" s="71">
        <v>0.0</v>
      </c>
      <c r="AH34" s="71">
        <v>382.0</v>
      </c>
      <c r="AI34" s="68">
        <f t="shared" si="14"/>
        <v>382</v>
      </c>
      <c r="AJ34" s="71">
        <f t="shared" ref="AJ34:AK34" si="150">AG34/1.05506</f>
        <v>0</v>
      </c>
      <c r="AK34" s="71">
        <f t="shared" si="150"/>
        <v>362.0647167</v>
      </c>
      <c r="AL34" s="68">
        <f t="shared" si="16"/>
        <v>362.0647167</v>
      </c>
    </row>
    <row r="35" ht="14.25" customHeight="1">
      <c r="B35" s="74">
        <v>45559.0</v>
      </c>
      <c r="C35" s="70"/>
      <c r="D35" s="70"/>
      <c r="E35" s="68">
        <f t="shared" si="1"/>
        <v>0</v>
      </c>
      <c r="F35" s="71">
        <v>830.0</v>
      </c>
      <c r="G35" s="72">
        <v>0.0</v>
      </c>
      <c r="H35" s="68">
        <f t="shared" si="17"/>
        <v>830</v>
      </c>
      <c r="I35" s="73">
        <f t="shared" ref="I35:J35" si="151">F35*55000*0.35/1000/0.55</f>
        <v>29050</v>
      </c>
      <c r="J35" s="73">
        <f t="shared" si="151"/>
        <v>0</v>
      </c>
      <c r="K35" s="68">
        <f t="shared" si="19"/>
        <v>29050</v>
      </c>
      <c r="L35" s="71">
        <v>22700.0</v>
      </c>
      <c r="M35" s="71">
        <v>0.0</v>
      </c>
      <c r="N35" s="68">
        <f t="shared" si="3"/>
        <v>22700</v>
      </c>
      <c r="O35" s="71">
        <v>4062.94964028777</v>
      </c>
      <c r="P35" s="71">
        <v>0.0</v>
      </c>
      <c r="Q35" s="68">
        <f t="shared" si="4"/>
        <v>4062.94964</v>
      </c>
      <c r="R35" s="71">
        <f t="shared" ref="R35:S35" si="152">L35-O35</f>
        <v>18637.05036</v>
      </c>
      <c r="S35" s="71">
        <f t="shared" si="152"/>
        <v>0</v>
      </c>
      <c r="T35" s="68">
        <f t="shared" si="6"/>
        <v>18637.05036</v>
      </c>
      <c r="U35" s="71">
        <f t="shared" ref="U35:V35" si="153">R35*0.55</f>
        <v>10250.3777</v>
      </c>
      <c r="V35" s="71">
        <f t="shared" si="153"/>
        <v>0</v>
      </c>
      <c r="W35" s="68">
        <f t="shared" si="8"/>
        <v>10250.3777</v>
      </c>
      <c r="X35" s="71">
        <f t="shared" ref="X35:Y35" si="154">U35/0.95</f>
        <v>10789.87126</v>
      </c>
      <c r="Y35" s="71">
        <f t="shared" si="154"/>
        <v>0</v>
      </c>
      <c r="Z35" s="68">
        <f t="shared" si="10"/>
        <v>10789.87126</v>
      </c>
      <c r="AA35" s="71">
        <v>11958.0119</v>
      </c>
      <c r="AB35" s="71">
        <v>0.0</v>
      </c>
      <c r="AC35" s="68">
        <f t="shared" si="11"/>
        <v>11958.0119</v>
      </c>
      <c r="AD35" s="71">
        <f t="shared" ref="AD35:AE35" si="155">AA35*0.95</f>
        <v>11360.11131</v>
      </c>
      <c r="AE35" s="71">
        <f t="shared" si="155"/>
        <v>0</v>
      </c>
      <c r="AF35" s="68">
        <f t="shared" si="13"/>
        <v>11360.11131</v>
      </c>
      <c r="AG35" s="71">
        <v>431.0</v>
      </c>
      <c r="AH35" s="71">
        <v>0.0</v>
      </c>
      <c r="AI35" s="68">
        <f t="shared" si="14"/>
        <v>431</v>
      </c>
      <c r="AJ35" s="71">
        <f t="shared" ref="AJ35:AK35" si="156">AG35/1.05506</f>
        <v>408.507573</v>
      </c>
      <c r="AK35" s="71">
        <f t="shared" si="156"/>
        <v>0</v>
      </c>
      <c r="AL35" s="68">
        <f t="shared" si="16"/>
        <v>408.507573</v>
      </c>
    </row>
    <row r="36" ht="14.25" customHeight="1">
      <c r="B36" s="74">
        <v>45560.0</v>
      </c>
      <c r="C36" s="70"/>
      <c r="D36" s="70"/>
      <c r="E36" s="68">
        <f t="shared" si="1"/>
        <v>0</v>
      </c>
      <c r="F36" s="71">
        <v>1598.0</v>
      </c>
      <c r="G36" s="72">
        <v>0.0</v>
      </c>
      <c r="H36" s="68">
        <f t="shared" si="17"/>
        <v>1598</v>
      </c>
      <c r="I36" s="73">
        <f t="shared" ref="I36:J36" si="157">F36*55000*0.35/1000/0.55</f>
        <v>55930</v>
      </c>
      <c r="J36" s="73">
        <f t="shared" si="157"/>
        <v>0</v>
      </c>
      <c r="K36" s="68">
        <f t="shared" si="19"/>
        <v>55930</v>
      </c>
      <c r="L36" s="71">
        <v>22234.0</v>
      </c>
      <c r="M36" s="71">
        <v>0.0</v>
      </c>
      <c r="N36" s="68">
        <f t="shared" si="3"/>
        <v>22234</v>
      </c>
      <c r="O36" s="71">
        <v>4169.784172661871</v>
      </c>
      <c r="P36" s="71">
        <v>0.0</v>
      </c>
      <c r="Q36" s="68">
        <f t="shared" si="4"/>
        <v>4169.784173</v>
      </c>
      <c r="R36" s="71">
        <f t="shared" ref="R36:S36" si="158">L36-O36</f>
        <v>18064.21583</v>
      </c>
      <c r="S36" s="71">
        <f t="shared" si="158"/>
        <v>0</v>
      </c>
      <c r="T36" s="68">
        <f t="shared" si="6"/>
        <v>18064.21583</v>
      </c>
      <c r="U36" s="71">
        <f t="shared" ref="U36:V36" si="159">R36*0.55</f>
        <v>9935.318705</v>
      </c>
      <c r="V36" s="71">
        <f t="shared" si="159"/>
        <v>0</v>
      </c>
      <c r="W36" s="68">
        <f t="shared" si="8"/>
        <v>9935.318705</v>
      </c>
      <c r="X36" s="71">
        <f t="shared" ref="X36:Y36" si="160">U36/0.95</f>
        <v>10458.23022</v>
      </c>
      <c r="Y36" s="71">
        <f t="shared" si="160"/>
        <v>0</v>
      </c>
      <c r="Z36" s="68">
        <f t="shared" si="10"/>
        <v>10458.23022</v>
      </c>
      <c r="AA36" s="71">
        <v>10797.6198</v>
      </c>
      <c r="AB36" s="71">
        <v>0.0</v>
      </c>
      <c r="AC36" s="68">
        <f t="shared" si="11"/>
        <v>10797.6198</v>
      </c>
      <c r="AD36" s="71">
        <f t="shared" ref="AD36:AE36" si="161">AA36*0.95</f>
        <v>10257.73881</v>
      </c>
      <c r="AE36" s="71">
        <f t="shared" si="161"/>
        <v>0</v>
      </c>
      <c r="AF36" s="68">
        <f t="shared" si="13"/>
        <v>10257.73881</v>
      </c>
      <c r="AG36" s="71">
        <v>384.0</v>
      </c>
      <c r="AH36" s="71">
        <v>0.0</v>
      </c>
      <c r="AI36" s="68">
        <f t="shared" si="14"/>
        <v>384</v>
      </c>
      <c r="AJ36" s="71">
        <f t="shared" ref="AJ36:AK36" si="162">AG36/1.05506</f>
        <v>363.9603435</v>
      </c>
      <c r="AK36" s="71">
        <f t="shared" si="162"/>
        <v>0</v>
      </c>
      <c r="AL36" s="68">
        <f t="shared" si="16"/>
        <v>363.9603435</v>
      </c>
    </row>
    <row r="37" ht="14.25" customHeight="1">
      <c r="B37" s="74">
        <v>45561.0</v>
      </c>
      <c r="C37" s="70"/>
      <c r="D37" s="70"/>
      <c r="E37" s="68">
        <f t="shared" si="1"/>
        <v>0</v>
      </c>
      <c r="F37" s="71">
        <v>1689.0</v>
      </c>
      <c r="G37" s="72">
        <v>0.0</v>
      </c>
      <c r="H37" s="68">
        <f t="shared" si="17"/>
        <v>1689</v>
      </c>
      <c r="I37" s="73">
        <f t="shared" ref="I37:J37" si="163">F37*55000*0.35/1000/0.55</f>
        <v>59115</v>
      </c>
      <c r="J37" s="73">
        <f t="shared" si="163"/>
        <v>0</v>
      </c>
      <c r="K37" s="68">
        <f t="shared" si="19"/>
        <v>59115</v>
      </c>
      <c r="L37" s="71">
        <v>22570.0</v>
      </c>
      <c r="M37" s="71">
        <v>0.0</v>
      </c>
      <c r="N37" s="68">
        <f t="shared" si="3"/>
        <v>22570</v>
      </c>
      <c r="O37" s="71">
        <v>4247.48201438849</v>
      </c>
      <c r="P37" s="71">
        <v>0.0</v>
      </c>
      <c r="Q37" s="68">
        <f t="shared" si="4"/>
        <v>4247.482014</v>
      </c>
      <c r="R37" s="71">
        <f t="shared" ref="R37:S37" si="164">L37-O37</f>
        <v>18322.51799</v>
      </c>
      <c r="S37" s="71">
        <f t="shared" si="164"/>
        <v>0</v>
      </c>
      <c r="T37" s="68">
        <f t="shared" si="6"/>
        <v>18322.51799</v>
      </c>
      <c r="U37" s="71">
        <f t="shared" ref="U37:V37" si="165">R37*0.55</f>
        <v>10077.38489</v>
      </c>
      <c r="V37" s="71">
        <f t="shared" si="165"/>
        <v>0</v>
      </c>
      <c r="W37" s="68">
        <f t="shared" si="8"/>
        <v>10077.38489</v>
      </c>
      <c r="X37" s="71">
        <f t="shared" ref="X37:Y37" si="166">U37/0.95</f>
        <v>10607.77357</v>
      </c>
      <c r="Y37" s="71">
        <f t="shared" si="166"/>
        <v>0</v>
      </c>
      <c r="Z37" s="68">
        <f t="shared" si="10"/>
        <v>10607.77357</v>
      </c>
      <c r="AA37" s="71">
        <v>10350.5609</v>
      </c>
      <c r="AB37" s="71">
        <v>0.0</v>
      </c>
      <c r="AC37" s="68">
        <f t="shared" si="11"/>
        <v>10350.5609</v>
      </c>
      <c r="AD37" s="71">
        <f t="shared" ref="AD37:AE37" si="167">AA37*0.95</f>
        <v>9833.032855</v>
      </c>
      <c r="AE37" s="71">
        <f t="shared" si="167"/>
        <v>0</v>
      </c>
      <c r="AF37" s="68">
        <f t="shared" si="13"/>
        <v>9833.032855</v>
      </c>
      <c r="AG37" s="71">
        <v>368.0</v>
      </c>
      <c r="AH37" s="71">
        <v>0.0</v>
      </c>
      <c r="AI37" s="68">
        <f t="shared" si="14"/>
        <v>368</v>
      </c>
      <c r="AJ37" s="71">
        <f t="shared" ref="AJ37:AK37" si="168">AG37/1.05506</f>
        <v>348.7953292</v>
      </c>
      <c r="AK37" s="71">
        <f t="shared" si="168"/>
        <v>0</v>
      </c>
      <c r="AL37" s="68">
        <f t="shared" si="16"/>
        <v>348.7953292</v>
      </c>
    </row>
    <row r="38" ht="14.25" customHeight="1">
      <c r="B38" s="74">
        <v>45562.0</v>
      </c>
      <c r="C38" s="70"/>
      <c r="D38" s="70"/>
      <c r="E38" s="68">
        <f t="shared" si="1"/>
        <v>0</v>
      </c>
      <c r="F38" s="71">
        <v>1587.0</v>
      </c>
      <c r="G38" s="72">
        <v>0.0</v>
      </c>
      <c r="H38" s="68">
        <f t="shared" si="17"/>
        <v>1587</v>
      </c>
      <c r="I38" s="73">
        <f t="shared" ref="I38:J38" si="169">F38*55000*0.35/1000/0.55</f>
        <v>55545</v>
      </c>
      <c r="J38" s="73">
        <f t="shared" si="169"/>
        <v>0</v>
      </c>
      <c r="K38" s="68">
        <f t="shared" si="19"/>
        <v>55545</v>
      </c>
      <c r="L38" s="71">
        <v>25955.0</v>
      </c>
      <c r="M38" s="71">
        <v>0.0</v>
      </c>
      <c r="N38" s="68">
        <f t="shared" si="3"/>
        <v>25955</v>
      </c>
      <c r="O38" s="71">
        <v>3882.7338129496407</v>
      </c>
      <c r="P38" s="71">
        <v>0.0</v>
      </c>
      <c r="Q38" s="68">
        <f t="shared" si="4"/>
        <v>3882.733813</v>
      </c>
      <c r="R38" s="71">
        <f t="shared" ref="R38:S38" si="170">L38-O38</f>
        <v>22072.26619</v>
      </c>
      <c r="S38" s="71">
        <f t="shared" si="170"/>
        <v>0</v>
      </c>
      <c r="T38" s="68">
        <f t="shared" si="6"/>
        <v>22072.26619</v>
      </c>
      <c r="U38" s="71">
        <f t="shared" ref="U38:V38" si="171">R38*0.55</f>
        <v>12139.7464</v>
      </c>
      <c r="V38" s="71">
        <f t="shared" si="171"/>
        <v>0</v>
      </c>
      <c r="W38" s="68">
        <f t="shared" si="8"/>
        <v>12139.7464</v>
      </c>
      <c r="X38" s="71">
        <f t="shared" ref="X38:Y38" si="172">U38/0.95</f>
        <v>12778.68042</v>
      </c>
      <c r="Y38" s="71">
        <f t="shared" si="172"/>
        <v>0</v>
      </c>
      <c r="Z38" s="68">
        <f t="shared" si="10"/>
        <v>12778.68042</v>
      </c>
      <c r="AA38" s="71">
        <v>10072.2878</v>
      </c>
      <c r="AB38" s="71">
        <v>0.0</v>
      </c>
      <c r="AC38" s="68">
        <f t="shared" si="11"/>
        <v>10072.2878</v>
      </c>
      <c r="AD38" s="71">
        <f t="shared" ref="AD38:AE38" si="173">AA38*0.95</f>
        <v>9568.67341</v>
      </c>
      <c r="AE38" s="71">
        <f t="shared" si="173"/>
        <v>0</v>
      </c>
      <c r="AF38" s="68">
        <f t="shared" si="13"/>
        <v>9568.67341</v>
      </c>
      <c r="AG38" s="71">
        <v>359.0</v>
      </c>
      <c r="AH38" s="71">
        <v>0.0</v>
      </c>
      <c r="AI38" s="68">
        <f t="shared" si="14"/>
        <v>359</v>
      </c>
      <c r="AJ38" s="71">
        <f t="shared" ref="AJ38:AK38" si="174">AG38/1.05506</f>
        <v>340.2650086</v>
      </c>
      <c r="AK38" s="71">
        <f t="shared" si="174"/>
        <v>0</v>
      </c>
      <c r="AL38" s="68">
        <f t="shared" si="16"/>
        <v>340.2650086</v>
      </c>
    </row>
    <row r="39" ht="14.25" customHeight="1">
      <c r="B39" s="74">
        <v>45563.0</v>
      </c>
      <c r="C39" s="70"/>
      <c r="D39" s="70"/>
      <c r="E39" s="68">
        <f t="shared" si="1"/>
        <v>0</v>
      </c>
      <c r="F39" s="71">
        <v>1586.0</v>
      </c>
      <c r="G39" s="72">
        <v>0.0</v>
      </c>
      <c r="H39" s="68">
        <f t="shared" si="17"/>
        <v>1586</v>
      </c>
      <c r="I39" s="73">
        <f t="shared" ref="I39:J39" si="175">F39*55000*0.35/1000/0.55</f>
        <v>55510</v>
      </c>
      <c r="J39" s="73">
        <f t="shared" si="175"/>
        <v>0</v>
      </c>
      <c r="K39" s="68">
        <f t="shared" si="19"/>
        <v>55510</v>
      </c>
      <c r="L39" s="71">
        <v>20908.0</v>
      </c>
      <c r="M39" s="71">
        <v>0.0</v>
      </c>
      <c r="N39" s="68">
        <f t="shared" si="3"/>
        <v>20908</v>
      </c>
      <c r="O39" s="71">
        <v>3872.6618705035976</v>
      </c>
      <c r="P39" s="71">
        <v>0.0</v>
      </c>
      <c r="Q39" s="68">
        <f t="shared" si="4"/>
        <v>3872.661871</v>
      </c>
      <c r="R39" s="71">
        <f t="shared" ref="R39:S39" si="176">L39-O39</f>
        <v>17035.33813</v>
      </c>
      <c r="S39" s="71">
        <f t="shared" si="176"/>
        <v>0</v>
      </c>
      <c r="T39" s="68">
        <f t="shared" si="6"/>
        <v>17035.33813</v>
      </c>
      <c r="U39" s="71">
        <f t="shared" ref="U39:V39" si="177">R39*0.55</f>
        <v>9369.435971</v>
      </c>
      <c r="V39" s="71">
        <f t="shared" si="177"/>
        <v>0</v>
      </c>
      <c r="W39" s="68">
        <f t="shared" si="8"/>
        <v>9369.435971</v>
      </c>
      <c r="X39" s="71">
        <f t="shared" ref="X39:Y39" si="178">U39/0.95</f>
        <v>9862.56418</v>
      </c>
      <c r="Y39" s="71">
        <f t="shared" si="178"/>
        <v>0</v>
      </c>
      <c r="Z39" s="68">
        <f t="shared" si="10"/>
        <v>9862.56418</v>
      </c>
      <c r="AA39" s="71">
        <v>10103.2423</v>
      </c>
      <c r="AB39" s="71">
        <v>0.0</v>
      </c>
      <c r="AC39" s="68">
        <f t="shared" si="11"/>
        <v>10103.2423</v>
      </c>
      <c r="AD39" s="71">
        <f t="shared" ref="AD39:AE39" si="179">AA39*0.95</f>
        <v>9598.080185</v>
      </c>
      <c r="AE39" s="71">
        <f t="shared" si="179"/>
        <v>0</v>
      </c>
      <c r="AF39" s="68">
        <f t="shared" si="13"/>
        <v>9598.080185</v>
      </c>
      <c r="AG39" s="71">
        <v>360.0</v>
      </c>
      <c r="AH39" s="71">
        <v>0.0</v>
      </c>
      <c r="AI39" s="68">
        <f t="shared" si="14"/>
        <v>360</v>
      </c>
      <c r="AJ39" s="71">
        <f t="shared" ref="AJ39:AK39" si="180">AG39/1.05506</f>
        <v>341.212822</v>
      </c>
      <c r="AK39" s="71">
        <f t="shared" si="180"/>
        <v>0</v>
      </c>
      <c r="AL39" s="68">
        <f t="shared" si="16"/>
        <v>341.212822</v>
      </c>
    </row>
    <row r="40" ht="14.25" customHeight="1">
      <c r="B40" s="74">
        <v>45564.0</v>
      </c>
      <c r="C40" s="70"/>
      <c r="D40" s="70"/>
      <c r="E40" s="68">
        <f t="shared" si="1"/>
        <v>0</v>
      </c>
      <c r="F40" s="71">
        <v>496.0</v>
      </c>
      <c r="G40" s="72">
        <v>0.0</v>
      </c>
      <c r="H40" s="68">
        <f t="shared" si="17"/>
        <v>496</v>
      </c>
      <c r="I40" s="73">
        <f t="shared" ref="I40:J40" si="181">F40*55000*0.35/1000/0.55</f>
        <v>17360</v>
      </c>
      <c r="J40" s="73">
        <f t="shared" si="181"/>
        <v>0</v>
      </c>
      <c r="K40" s="68">
        <f t="shared" si="19"/>
        <v>17360</v>
      </c>
      <c r="L40" s="71">
        <v>20801.0</v>
      </c>
      <c r="M40" s="71">
        <v>0.0</v>
      </c>
      <c r="N40" s="68">
        <f t="shared" si="3"/>
        <v>20801</v>
      </c>
      <c r="O40" s="71">
        <v>3861.5107913669067</v>
      </c>
      <c r="P40" s="71">
        <v>0.0</v>
      </c>
      <c r="Q40" s="68">
        <f t="shared" si="4"/>
        <v>3861.510791</v>
      </c>
      <c r="R40" s="71">
        <f t="shared" ref="R40:S40" si="182">L40-O40</f>
        <v>16939.48921</v>
      </c>
      <c r="S40" s="71">
        <f t="shared" si="182"/>
        <v>0</v>
      </c>
      <c r="T40" s="68">
        <f t="shared" si="6"/>
        <v>16939.48921</v>
      </c>
      <c r="U40" s="71">
        <f t="shared" ref="U40:V40" si="183">R40*0.55</f>
        <v>9316.719065</v>
      </c>
      <c r="V40" s="71">
        <f t="shared" si="183"/>
        <v>0</v>
      </c>
      <c r="W40" s="68">
        <f t="shared" si="8"/>
        <v>9316.719065</v>
      </c>
      <c r="X40" s="71">
        <f t="shared" ref="X40:Y40" si="184">U40/0.95</f>
        <v>9807.0727</v>
      </c>
      <c r="Y40" s="71">
        <f t="shared" si="184"/>
        <v>0</v>
      </c>
      <c r="Z40" s="68">
        <f t="shared" si="10"/>
        <v>9807.0727</v>
      </c>
      <c r="AA40" s="71">
        <v>10078.3999</v>
      </c>
      <c r="AB40" s="71">
        <v>0.0</v>
      </c>
      <c r="AC40" s="68">
        <f t="shared" si="11"/>
        <v>10078.3999</v>
      </c>
      <c r="AD40" s="71">
        <f t="shared" ref="AD40:AE40" si="185">AA40*0.95</f>
        <v>9574.479905</v>
      </c>
      <c r="AE40" s="71">
        <f t="shared" si="185"/>
        <v>0</v>
      </c>
      <c r="AF40" s="68">
        <f t="shared" si="13"/>
        <v>9574.479905</v>
      </c>
      <c r="AG40" s="71">
        <v>358.0</v>
      </c>
      <c r="AH40" s="71">
        <v>0.0</v>
      </c>
      <c r="AI40" s="68">
        <f t="shared" si="14"/>
        <v>358</v>
      </c>
      <c r="AJ40" s="71">
        <f t="shared" ref="AJ40:AK40" si="186">AG40/1.05506</f>
        <v>339.3171952</v>
      </c>
      <c r="AK40" s="71">
        <f t="shared" si="186"/>
        <v>0</v>
      </c>
      <c r="AL40" s="68">
        <f t="shared" si="16"/>
        <v>339.3171952</v>
      </c>
    </row>
    <row r="41" ht="14.25" customHeight="1">
      <c r="B41" s="74">
        <v>45565.0</v>
      </c>
      <c r="C41" s="70"/>
      <c r="D41" s="70"/>
      <c r="E41" s="68">
        <f t="shared" si="1"/>
        <v>0</v>
      </c>
      <c r="F41" s="71">
        <v>1224.0</v>
      </c>
      <c r="G41" s="72">
        <v>0.0</v>
      </c>
      <c r="H41" s="68">
        <f t="shared" si="17"/>
        <v>1224</v>
      </c>
      <c r="I41" s="73">
        <f t="shared" ref="I41:J41" si="187">F40*55000*0.35/1000/0.55</f>
        <v>17360</v>
      </c>
      <c r="J41" s="73">
        <f t="shared" si="187"/>
        <v>0</v>
      </c>
      <c r="K41" s="68">
        <f t="shared" si="19"/>
        <v>17360</v>
      </c>
      <c r="L41" s="71">
        <v>17559.0</v>
      </c>
      <c r="M41" s="71">
        <v>0.0</v>
      </c>
      <c r="N41" s="68">
        <f t="shared" si="3"/>
        <v>17559</v>
      </c>
      <c r="O41" s="71">
        <v>2923.381294964029</v>
      </c>
      <c r="P41" s="71">
        <v>0.0</v>
      </c>
      <c r="Q41" s="68">
        <f t="shared" si="4"/>
        <v>2923.381295</v>
      </c>
      <c r="R41" s="71">
        <f t="shared" ref="R41:S41" si="188">L41-O41</f>
        <v>14635.61871</v>
      </c>
      <c r="S41" s="71">
        <f t="shared" si="188"/>
        <v>0</v>
      </c>
      <c r="T41" s="68">
        <f t="shared" si="6"/>
        <v>14635.61871</v>
      </c>
      <c r="U41" s="71">
        <f t="shared" ref="U41:V41" si="189">R41*0.55</f>
        <v>8049.590288</v>
      </c>
      <c r="V41" s="71">
        <f t="shared" si="189"/>
        <v>0</v>
      </c>
      <c r="W41" s="68">
        <f t="shared" si="8"/>
        <v>8049.590288</v>
      </c>
      <c r="X41" s="71">
        <f t="shared" ref="X41:Y41" si="190">U41/0.95</f>
        <v>8473.252934</v>
      </c>
      <c r="Y41" s="71">
        <f t="shared" si="190"/>
        <v>0</v>
      </c>
      <c r="Z41" s="68">
        <f t="shared" si="10"/>
        <v>8473.252934</v>
      </c>
      <c r="AA41" s="71">
        <v>3956.2637</v>
      </c>
      <c r="AB41" s="71">
        <v>0.0</v>
      </c>
      <c r="AC41" s="68">
        <f t="shared" si="11"/>
        <v>3956.2637</v>
      </c>
      <c r="AD41" s="71">
        <f t="shared" ref="AD41:AE41" si="191">AA41*0.95</f>
        <v>3758.450515</v>
      </c>
      <c r="AE41" s="71">
        <f t="shared" si="191"/>
        <v>0</v>
      </c>
      <c r="AF41" s="68">
        <f t="shared" si="13"/>
        <v>3758.450515</v>
      </c>
      <c r="AG41" s="71">
        <v>141.0</v>
      </c>
      <c r="AH41" s="71">
        <v>0.0</v>
      </c>
      <c r="AI41" s="68">
        <f t="shared" si="14"/>
        <v>141</v>
      </c>
      <c r="AJ41" s="71">
        <f t="shared" ref="AJ41:AK41" si="192">AG41/1.05506</f>
        <v>133.6416886</v>
      </c>
      <c r="AK41" s="71">
        <f t="shared" si="192"/>
        <v>0</v>
      </c>
      <c r="AL41" s="68">
        <f t="shared" si="16"/>
        <v>133.6416886</v>
      </c>
      <c r="AN41" s="75"/>
    </row>
    <row r="42" ht="15.0" customHeight="1">
      <c r="B42" s="76" t="s">
        <v>49</v>
      </c>
      <c r="C42" s="77"/>
      <c r="D42" s="77"/>
      <c r="E42" s="77"/>
      <c r="F42" s="77">
        <f t="shared" ref="F42:AI42" si="193">SUM(F12:F41)</f>
        <v>9010</v>
      </c>
      <c r="G42" s="77">
        <f t="shared" si="193"/>
        <v>25023</v>
      </c>
      <c r="H42" s="77">
        <f t="shared" si="193"/>
        <v>34033</v>
      </c>
      <c r="I42" s="77">
        <f t="shared" si="193"/>
        <v>289870</v>
      </c>
      <c r="J42" s="77">
        <f t="shared" si="193"/>
        <v>875805</v>
      </c>
      <c r="K42" s="77">
        <f t="shared" si="193"/>
        <v>1165675</v>
      </c>
      <c r="L42" s="77">
        <f t="shared" si="193"/>
        <v>152727</v>
      </c>
      <c r="M42" s="77">
        <f t="shared" si="193"/>
        <v>509984</v>
      </c>
      <c r="N42" s="77">
        <f t="shared" si="193"/>
        <v>662711</v>
      </c>
      <c r="O42" s="77">
        <f t="shared" si="193"/>
        <v>27020.5036</v>
      </c>
      <c r="P42" s="77">
        <f t="shared" si="193"/>
        <v>80688.84892</v>
      </c>
      <c r="Q42" s="77">
        <f t="shared" si="193"/>
        <v>107709.3525</v>
      </c>
      <c r="R42" s="77">
        <f t="shared" si="193"/>
        <v>125706.4964</v>
      </c>
      <c r="S42" s="77">
        <f t="shared" si="193"/>
        <v>429295.1511</v>
      </c>
      <c r="T42" s="77">
        <f t="shared" si="193"/>
        <v>555001.6475</v>
      </c>
      <c r="U42" s="77">
        <f t="shared" si="193"/>
        <v>69138.57302</v>
      </c>
      <c r="V42" s="77">
        <f t="shared" si="193"/>
        <v>236112.3331</v>
      </c>
      <c r="W42" s="77">
        <f t="shared" si="193"/>
        <v>305250.9061</v>
      </c>
      <c r="X42" s="77">
        <f t="shared" si="193"/>
        <v>72777.44529</v>
      </c>
      <c r="Y42" s="77">
        <f t="shared" si="193"/>
        <v>248539.298</v>
      </c>
      <c r="Z42" s="77">
        <f t="shared" si="193"/>
        <v>321316.7433</v>
      </c>
      <c r="AA42" s="77">
        <f t="shared" si="193"/>
        <v>67316.3863</v>
      </c>
      <c r="AB42" s="77">
        <f t="shared" si="193"/>
        <v>235920.3912</v>
      </c>
      <c r="AC42" s="77">
        <f t="shared" si="193"/>
        <v>303236.7775</v>
      </c>
      <c r="AD42" s="77">
        <f t="shared" si="193"/>
        <v>63950.56699</v>
      </c>
      <c r="AE42" s="77">
        <f t="shared" si="193"/>
        <v>224124.3716</v>
      </c>
      <c r="AF42" s="77">
        <f t="shared" si="193"/>
        <v>288074.9386</v>
      </c>
      <c r="AG42" s="77">
        <f t="shared" si="193"/>
        <v>2401</v>
      </c>
      <c r="AH42" s="77">
        <f t="shared" si="193"/>
        <v>8526</v>
      </c>
      <c r="AI42" s="77">
        <f t="shared" si="193"/>
        <v>10927</v>
      </c>
      <c r="AJ42" s="78">
        <v>2276.0</v>
      </c>
      <c r="AK42" s="77">
        <f t="shared" ref="AK42:AL42" si="194">SUM(AK12:AK41)</f>
        <v>8081.057001</v>
      </c>
      <c r="AL42" s="77">
        <f t="shared" si="194"/>
        <v>10356.75696</v>
      </c>
      <c r="AN42" s="79"/>
    </row>
    <row r="43" ht="14.25" customHeight="1"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>
      <c r="B45" s="80"/>
      <c r="C45" s="80"/>
      <c r="D45" s="80"/>
      <c r="E45" s="80"/>
      <c r="F45" s="80"/>
      <c r="G45" s="80"/>
      <c r="H45" s="80"/>
      <c r="I45" s="80"/>
      <c r="J45" s="80"/>
      <c r="K45" s="56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56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ht="18.0" customHeight="1">
      <c r="B46" s="80"/>
      <c r="C46" s="80"/>
      <c r="D46" s="80"/>
      <c r="E46" s="80"/>
      <c r="F46" s="80"/>
      <c r="G46" s="80"/>
      <c r="H46" s="80"/>
      <c r="I46" s="80"/>
      <c r="J46" s="80"/>
      <c r="K46" s="56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56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4.25" customHeight="1">
      <c r="B47" s="80"/>
      <c r="C47" s="80"/>
      <c r="D47" s="80"/>
      <c r="E47" s="80"/>
      <c r="F47" s="80"/>
      <c r="G47" s="80"/>
      <c r="H47" s="80"/>
      <c r="I47" s="80"/>
      <c r="J47" s="80"/>
      <c r="K47" s="56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56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8.0" customHeight="1">
      <c r="B49" s="80"/>
      <c r="C49" s="80"/>
      <c r="D49" s="80"/>
      <c r="E49" s="80"/>
      <c r="F49" s="80"/>
      <c r="G49" s="80"/>
      <c r="H49" s="80"/>
      <c r="I49" s="80"/>
      <c r="J49" s="80"/>
      <c r="K49" s="56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>
      <c r="B50" s="80"/>
      <c r="C50" s="80"/>
      <c r="D50" s="80"/>
      <c r="E50" s="80"/>
      <c r="F50" s="80"/>
      <c r="G50" s="80"/>
      <c r="H50" s="80"/>
      <c r="I50" s="80"/>
      <c r="J50" s="80"/>
      <c r="K50" s="56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4.25" customHeight="1">
      <c r="B51" s="80"/>
      <c r="C51" s="80"/>
      <c r="D51" s="80"/>
      <c r="E51" s="80"/>
      <c r="F51" s="80"/>
      <c r="G51" s="80"/>
      <c r="H51" s="80"/>
      <c r="I51" s="80"/>
      <c r="J51" s="80"/>
      <c r="K51" s="56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56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4.25" customHeight="1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</row>
    <row r="60" ht="14.25" customHeight="1">
      <c r="B60" s="53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4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3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</row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8" width="12.0"/>
    <col customWidth="1" min="9" max="9" width="13.5"/>
    <col customWidth="1" min="10" max="10" width="12.0"/>
    <col customWidth="1" min="11" max="11" width="13.5"/>
    <col customWidth="1" min="12" max="38" width="12.0"/>
    <col customWidth="1" min="40" max="40" width="10.5"/>
  </cols>
  <sheetData>
    <row r="1" ht="14.25" customHeight="1">
      <c r="A1" s="55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45565.0</v>
      </c>
      <c r="C11" s="67">
        <v>0.0</v>
      </c>
      <c r="D11" s="67">
        <v>45868.0</v>
      </c>
      <c r="E11" s="68">
        <f t="shared" ref="E11:E42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5">SUM(R11+S11)</f>
        <v>0</v>
      </c>
      <c r="U11" s="68"/>
      <c r="V11" s="68"/>
      <c r="W11" s="68">
        <f t="shared" ref="W11:W42" si="7">SUM(U11+V11)</f>
        <v>0</v>
      </c>
      <c r="X11" s="68"/>
      <c r="Y11" s="68"/>
      <c r="Z11" s="68">
        <f t="shared" ref="Z11:Z42" si="9">SUM(X11+Y11)</f>
        <v>0</v>
      </c>
      <c r="AA11" s="68"/>
      <c r="AB11" s="68"/>
      <c r="AC11" s="68">
        <f t="shared" ref="AC11:AC42" si="10">SUM(AA11+AB11)</f>
        <v>0</v>
      </c>
      <c r="AD11" s="68"/>
      <c r="AE11" s="68"/>
      <c r="AF11" s="68">
        <f t="shared" ref="AF11:AF42" si="12">SUM(AD11+AE11)</f>
        <v>0</v>
      </c>
      <c r="AG11" s="68"/>
      <c r="AH11" s="68"/>
      <c r="AI11" s="68">
        <f t="shared" ref="AI11:AI42" si="13">SUM(AG11+AH11)</f>
        <v>0</v>
      </c>
      <c r="AJ11" s="68"/>
      <c r="AK11" s="68"/>
      <c r="AL11" s="68">
        <f t="shared" ref="AL11:AL42" si="15">SUM(AJ11+AK11)</f>
        <v>0</v>
      </c>
    </row>
    <row r="12" ht="18.0" customHeight="1">
      <c r="B12" s="69">
        <v>45566.0</v>
      </c>
      <c r="C12" s="70"/>
      <c r="D12" s="70"/>
      <c r="E12" s="68">
        <f t="shared" si="1"/>
        <v>0</v>
      </c>
      <c r="F12" s="71">
        <v>1677.0</v>
      </c>
      <c r="G12" s="72">
        <v>0.0</v>
      </c>
      <c r="H12" s="68">
        <f t="shared" ref="H12:H42" si="16">SUM(F12+G12)</f>
        <v>1677</v>
      </c>
      <c r="I12" s="73">
        <f t="shared" ref="I12:J12" si="2">F12*55000*0.35/1000/0.55</f>
        <v>58695</v>
      </c>
      <c r="J12" s="73">
        <f t="shared" si="2"/>
        <v>0</v>
      </c>
      <c r="K12" s="68">
        <f t="shared" ref="K12:K42" si="18">J12+I12</f>
        <v>58695</v>
      </c>
      <c r="L12" s="71">
        <v>3024.0</v>
      </c>
      <c r="M12" s="71">
        <v>0.0</v>
      </c>
      <c r="N12" s="68">
        <f t="shared" si="3"/>
        <v>3024</v>
      </c>
      <c r="O12" s="71">
        <v>0.0</v>
      </c>
      <c r="P12" s="71">
        <v>0.0</v>
      </c>
      <c r="Q12" s="68">
        <f t="shared" si="4"/>
        <v>0</v>
      </c>
      <c r="R12" s="71">
        <v>0.0</v>
      </c>
      <c r="S12" s="71">
        <f t="shared" ref="S12:S26" si="19">M12-P12</f>
        <v>0</v>
      </c>
      <c r="T12" s="68">
        <f t="shared" si="5"/>
        <v>0</v>
      </c>
      <c r="U12" s="71">
        <f t="shared" ref="U12:V12" si="6">R12*0.55</f>
        <v>0</v>
      </c>
      <c r="V12" s="71">
        <f t="shared" si="6"/>
        <v>0</v>
      </c>
      <c r="W12" s="68">
        <f t="shared" si="7"/>
        <v>0</v>
      </c>
      <c r="X12" s="71">
        <f t="shared" ref="X12:Y12" si="8">U12/0.95</f>
        <v>0</v>
      </c>
      <c r="Y12" s="71">
        <f t="shared" si="8"/>
        <v>0</v>
      </c>
      <c r="Z12" s="68">
        <f t="shared" si="9"/>
        <v>0</v>
      </c>
      <c r="AA12" s="71">
        <v>0.0</v>
      </c>
      <c r="AB12" s="71">
        <v>0.0</v>
      </c>
      <c r="AC12" s="68">
        <f t="shared" si="10"/>
        <v>0</v>
      </c>
      <c r="AD12" s="71">
        <f t="shared" ref="AD12:AE12" si="11">AA12*0.95</f>
        <v>0</v>
      </c>
      <c r="AE12" s="71">
        <f t="shared" si="11"/>
        <v>0</v>
      </c>
      <c r="AF12" s="68">
        <f t="shared" si="12"/>
        <v>0</v>
      </c>
      <c r="AG12" s="71">
        <v>0.0</v>
      </c>
      <c r="AH12" s="71">
        <v>0.0</v>
      </c>
      <c r="AI12" s="68">
        <f t="shared" si="13"/>
        <v>0</v>
      </c>
      <c r="AJ12" s="71">
        <f t="shared" ref="AJ12:AK12" si="14">AG12/1.05506</f>
        <v>0</v>
      </c>
      <c r="AK12" s="71">
        <f t="shared" si="14"/>
        <v>0</v>
      </c>
      <c r="AL12" s="68">
        <f t="shared" si="15"/>
        <v>0</v>
      </c>
    </row>
    <row r="13" ht="14.25" customHeight="1">
      <c r="B13" s="69">
        <v>45567.0</v>
      </c>
      <c r="C13" s="70"/>
      <c r="D13" s="70"/>
      <c r="E13" s="68">
        <f t="shared" si="1"/>
        <v>0</v>
      </c>
      <c r="F13" s="71">
        <v>852.0</v>
      </c>
      <c r="G13" s="72">
        <v>0.0</v>
      </c>
      <c r="H13" s="68">
        <f t="shared" si="16"/>
        <v>852</v>
      </c>
      <c r="I13" s="73">
        <f t="shared" ref="I13:J13" si="17">F13*55000*0.35/1000/0.55</f>
        <v>29820</v>
      </c>
      <c r="J13" s="73">
        <f t="shared" si="17"/>
        <v>0</v>
      </c>
      <c r="K13" s="68">
        <f t="shared" si="18"/>
        <v>29820</v>
      </c>
      <c r="L13" s="71">
        <v>1751.0</v>
      </c>
      <c r="M13" s="71">
        <v>0.0</v>
      </c>
      <c r="N13" s="68">
        <f t="shared" si="3"/>
        <v>1751</v>
      </c>
      <c r="O13" s="71">
        <v>0.0</v>
      </c>
      <c r="P13" s="71">
        <v>0.0</v>
      </c>
      <c r="Q13" s="68">
        <f t="shared" si="4"/>
        <v>0</v>
      </c>
      <c r="R13" s="71">
        <v>0.0</v>
      </c>
      <c r="S13" s="71">
        <f t="shared" si="19"/>
        <v>0</v>
      </c>
      <c r="T13" s="68">
        <f t="shared" si="5"/>
        <v>0</v>
      </c>
      <c r="U13" s="71">
        <f t="shared" ref="U13:V13" si="20">R13*0.55</f>
        <v>0</v>
      </c>
      <c r="V13" s="71">
        <f t="shared" si="20"/>
        <v>0</v>
      </c>
      <c r="W13" s="68">
        <f t="shared" si="7"/>
        <v>0</v>
      </c>
      <c r="X13" s="71">
        <f t="shared" ref="X13:Y13" si="21">U13/0.95</f>
        <v>0</v>
      </c>
      <c r="Y13" s="71">
        <f t="shared" si="21"/>
        <v>0</v>
      </c>
      <c r="Z13" s="68">
        <f t="shared" si="9"/>
        <v>0</v>
      </c>
      <c r="AA13" s="71">
        <v>0.0</v>
      </c>
      <c r="AB13" s="71">
        <v>0.0</v>
      </c>
      <c r="AC13" s="68">
        <f t="shared" si="10"/>
        <v>0</v>
      </c>
      <c r="AD13" s="71">
        <f t="shared" ref="AD13:AE13" si="22">AA13*0.95</f>
        <v>0</v>
      </c>
      <c r="AE13" s="71">
        <f t="shared" si="22"/>
        <v>0</v>
      </c>
      <c r="AF13" s="68">
        <f t="shared" si="12"/>
        <v>0</v>
      </c>
      <c r="AG13" s="71">
        <v>0.0</v>
      </c>
      <c r="AH13" s="71">
        <v>0.0</v>
      </c>
      <c r="AI13" s="68">
        <f t="shared" si="13"/>
        <v>0</v>
      </c>
      <c r="AJ13" s="71">
        <f t="shared" ref="AJ13:AK13" si="23">AG13/1.05506</f>
        <v>0</v>
      </c>
      <c r="AK13" s="71">
        <f t="shared" si="23"/>
        <v>0</v>
      </c>
      <c r="AL13" s="68">
        <f t="shared" si="15"/>
        <v>0</v>
      </c>
    </row>
    <row r="14" ht="14.25" customHeight="1">
      <c r="B14" s="69">
        <v>45568.0</v>
      </c>
      <c r="C14" s="70"/>
      <c r="D14" s="70"/>
      <c r="E14" s="68">
        <f t="shared" si="1"/>
        <v>0</v>
      </c>
      <c r="F14" s="71">
        <v>1302.0</v>
      </c>
      <c r="G14" s="72">
        <v>0.0</v>
      </c>
      <c r="H14" s="68">
        <f t="shared" si="16"/>
        <v>1302</v>
      </c>
      <c r="I14" s="73">
        <f t="shared" ref="I14:J14" si="24">F14*55000*0.35/1000/0.55</f>
        <v>45570</v>
      </c>
      <c r="J14" s="73">
        <f t="shared" si="24"/>
        <v>0</v>
      </c>
      <c r="K14" s="68">
        <f t="shared" si="18"/>
        <v>45570</v>
      </c>
      <c r="L14" s="71">
        <v>1745.0</v>
      </c>
      <c r="M14" s="71">
        <v>0.0</v>
      </c>
      <c r="N14" s="68">
        <f t="shared" si="3"/>
        <v>1745</v>
      </c>
      <c r="O14" s="71">
        <v>0.0</v>
      </c>
      <c r="P14" s="71">
        <v>0.0</v>
      </c>
      <c r="Q14" s="68">
        <f t="shared" si="4"/>
        <v>0</v>
      </c>
      <c r="R14" s="71">
        <v>0.0</v>
      </c>
      <c r="S14" s="71">
        <f t="shared" si="19"/>
        <v>0</v>
      </c>
      <c r="T14" s="68">
        <f t="shared" si="5"/>
        <v>0</v>
      </c>
      <c r="U14" s="71">
        <f t="shared" ref="U14:V14" si="25">R14*0.55</f>
        <v>0</v>
      </c>
      <c r="V14" s="71">
        <f t="shared" si="25"/>
        <v>0</v>
      </c>
      <c r="W14" s="68">
        <f t="shared" si="7"/>
        <v>0</v>
      </c>
      <c r="X14" s="71">
        <f t="shared" ref="X14:Y14" si="26">U14/0.95</f>
        <v>0</v>
      </c>
      <c r="Y14" s="71">
        <f t="shared" si="26"/>
        <v>0</v>
      </c>
      <c r="Z14" s="68">
        <f t="shared" si="9"/>
        <v>0</v>
      </c>
      <c r="AA14" s="71">
        <v>0.0</v>
      </c>
      <c r="AB14" s="71">
        <v>0.0</v>
      </c>
      <c r="AC14" s="68">
        <f t="shared" si="10"/>
        <v>0</v>
      </c>
      <c r="AD14" s="71">
        <f t="shared" ref="AD14:AE14" si="27">AA14*0.95</f>
        <v>0</v>
      </c>
      <c r="AE14" s="71">
        <f t="shared" si="27"/>
        <v>0</v>
      </c>
      <c r="AF14" s="68">
        <f t="shared" si="12"/>
        <v>0</v>
      </c>
      <c r="AG14" s="71">
        <v>0.0</v>
      </c>
      <c r="AH14" s="71">
        <v>0.0</v>
      </c>
      <c r="AI14" s="68">
        <f t="shared" si="13"/>
        <v>0</v>
      </c>
      <c r="AJ14" s="71">
        <f t="shared" ref="AJ14:AK14" si="28">AG14/1.05506</f>
        <v>0</v>
      </c>
      <c r="AK14" s="71">
        <f t="shared" si="28"/>
        <v>0</v>
      </c>
      <c r="AL14" s="68">
        <f t="shared" si="15"/>
        <v>0</v>
      </c>
    </row>
    <row r="15" ht="14.25" customHeight="1">
      <c r="B15" s="69">
        <v>45569.0</v>
      </c>
      <c r="C15" s="70"/>
      <c r="D15" s="70"/>
      <c r="E15" s="68">
        <f t="shared" si="1"/>
        <v>0</v>
      </c>
      <c r="F15" s="71">
        <v>1318.0</v>
      </c>
      <c r="G15" s="72">
        <v>0.0</v>
      </c>
      <c r="H15" s="68">
        <f t="shared" si="16"/>
        <v>1318</v>
      </c>
      <c r="I15" s="73">
        <f t="shared" ref="I15:J15" si="29">F15*55000*0.35/1000/0.55</f>
        <v>46130</v>
      </c>
      <c r="J15" s="73">
        <f t="shared" si="29"/>
        <v>0</v>
      </c>
      <c r="K15" s="68">
        <f t="shared" si="18"/>
        <v>46130</v>
      </c>
      <c r="L15" s="71">
        <v>2060.0</v>
      </c>
      <c r="M15" s="71">
        <v>0.0</v>
      </c>
      <c r="N15" s="68">
        <f t="shared" si="3"/>
        <v>2060</v>
      </c>
      <c r="O15" s="71">
        <v>0.0</v>
      </c>
      <c r="P15" s="71">
        <v>0.0</v>
      </c>
      <c r="Q15" s="68">
        <f t="shared" si="4"/>
        <v>0</v>
      </c>
      <c r="R15" s="71">
        <v>0.0</v>
      </c>
      <c r="S15" s="71">
        <f t="shared" si="19"/>
        <v>0</v>
      </c>
      <c r="T15" s="68">
        <f t="shared" si="5"/>
        <v>0</v>
      </c>
      <c r="U15" s="71">
        <f t="shared" ref="U15:V15" si="30">R15*0.55</f>
        <v>0</v>
      </c>
      <c r="V15" s="71">
        <f t="shared" si="30"/>
        <v>0</v>
      </c>
      <c r="W15" s="68">
        <f t="shared" si="7"/>
        <v>0</v>
      </c>
      <c r="X15" s="71">
        <f t="shared" ref="X15:Y15" si="31">U15/0.95</f>
        <v>0</v>
      </c>
      <c r="Y15" s="71">
        <f t="shared" si="31"/>
        <v>0</v>
      </c>
      <c r="Z15" s="68">
        <f t="shared" si="9"/>
        <v>0</v>
      </c>
      <c r="AA15" s="71">
        <v>0.0</v>
      </c>
      <c r="AB15" s="71">
        <v>0.0</v>
      </c>
      <c r="AC15" s="68">
        <f t="shared" si="10"/>
        <v>0</v>
      </c>
      <c r="AD15" s="71">
        <f t="shared" ref="AD15:AE15" si="32">AA15*0.95</f>
        <v>0</v>
      </c>
      <c r="AE15" s="71">
        <f t="shared" si="32"/>
        <v>0</v>
      </c>
      <c r="AF15" s="68">
        <f t="shared" si="12"/>
        <v>0</v>
      </c>
      <c r="AG15" s="71">
        <v>0.0</v>
      </c>
      <c r="AH15" s="71">
        <v>0.0</v>
      </c>
      <c r="AI15" s="68">
        <f t="shared" si="13"/>
        <v>0</v>
      </c>
      <c r="AJ15" s="71">
        <f t="shared" ref="AJ15:AK15" si="33">AG15/1.05506</f>
        <v>0</v>
      </c>
      <c r="AK15" s="71">
        <f t="shared" si="33"/>
        <v>0</v>
      </c>
      <c r="AL15" s="68">
        <f t="shared" si="15"/>
        <v>0</v>
      </c>
    </row>
    <row r="16" ht="14.25" customHeight="1">
      <c r="B16" s="69">
        <v>45570.0</v>
      </c>
      <c r="C16" s="70"/>
      <c r="D16" s="70"/>
      <c r="E16" s="68">
        <f t="shared" si="1"/>
        <v>0</v>
      </c>
      <c r="F16" s="71">
        <v>1268.0</v>
      </c>
      <c r="G16" s="72">
        <v>0.0</v>
      </c>
      <c r="H16" s="68">
        <f t="shared" si="16"/>
        <v>1268</v>
      </c>
      <c r="I16" s="73">
        <f t="shared" ref="I16:J16" si="34">F16*55000*0.35/1000/0.55</f>
        <v>44380</v>
      </c>
      <c r="J16" s="73">
        <f t="shared" si="34"/>
        <v>0</v>
      </c>
      <c r="K16" s="68">
        <f t="shared" si="18"/>
        <v>44380</v>
      </c>
      <c r="L16" s="71">
        <v>2587.0</v>
      </c>
      <c r="M16" s="71">
        <v>0.0</v>
      </c>
      <c r="N16" s="68">
        <f t="shared" si="3"/>
        <v>2587</v>
      </c>
      <c r="O16" s="71">
        <v>0.0</v>
      </c>
      <c r="P16" s="71">
        <v>0.0</v>
      </c>
      <c r="Q16" s="68">
        <f t="shared" si="4"/>
        <v>0</v>
      </c>
      <c r="R16" s="71">
        <v>0.0</v>
      </c>
      <c r="S16" s="71">
        <f t="shared" si="19"/>
        <v>0</v>
      </c>
      <c r="T16" s="68">
        <f t="shared" si="5"/>
        <v>0</v>
      </c>
      <c r="U16" s="71">
        <f t="shared" ref="U16:V16" si="35">R16*0.55</f>
        <v>0</v>
      </c>
      <c r="V16" s="71">
        <f t="shared" si="35"/>
        <v>0</v>
      </c>
      <c r="W16" s="68">
        <f t="shared" si="7"/>
        <v>0</v>
      </c>
      <c r="X16" s="71">
        <f t="shared" ref="X16:Y16" si="36">U16/0.95</f>
        <v>0</v>
      </c>
      <c r="Y16" s="71">
        <f t="shared" si="36"/>
        <v>0</v>
      </c>
      <c r="Z16" s="68">
        <f t="shared" si="9"/>
        <v>0</v>
      </c>
      <c r="AA16" s="71">
        <v>0.0</v>
      </c>
      <c r="AB16" s="71">
        <v>0.0</v>
      </c>
      <c r="AC16" s="68">
        <f t="shared" si="10"/>
        <v>0</v>
      </c>
      <c r="AD16" s="71">
        <f t="shared" ref="AD16:AE16" si="37">AA16*0.95</f>
        <v>0</v>
      </c>
      <c r="AE16" s="71">
        <f t="shared" si="37"/>
        <v>0</v>
      </c>
      <c r="AF16" s="68">
        <f t="shared" si="12"/>
        <v>0</v>
      </c>
      <c r="AG16" s="71">
        <v>0.0</v>
      </c>
      <c r="AH16" s="71">
        <v>0.0</v>
      </c>
      <c r="AI16" s="68">
        <f t="shared" si="13"/>
        <v>0</v>
      </c>
      <c r="AJ16" s="71">
        <f t="shared" ref="AJ16:AK16" si="38">AG16/1.05506</f>
        <v>0</v>
      </c>
      <c r="AK16" s="71">
        <f t="shared" si="38"/>
        <v>0</v>
      </c>
      <c r="AL16" s="68">
        <f t="shared" si="15"/>
        <v>0</v>
      </c>
    </row>
    <row r="17" ht="14.25" customHeight="1">
      <c r="B17" s="69">
        <v>45571.0</v>
      </c>
      <c r="C17" s="70"/>
      <c r="D17" s="70"/>
      <c r="E17" s="68">
        <f t="shared" si="1"/>
        <v>0</v>
      </c>
      <c r="F17" s="71">
        <v>520.0</v>
      </c>
      <c r="G17" s="72">
        <v>0.0</v>
      </c>
      <c r="H17" s="68">
        <f t="shared" si="16"/>
        <v>520</v>
      </c>
      <c r="I17" s="73">
        <f t="shared" ref="I17:J17" si="39">F17*55000*0.35/1000/0.55</f>
        <v>18200</v>
      </c>
      <c r="J17" s="73">
        <f t="shared" si="39"/>
        <v>0</v>
      </c>
      <c r="K17" s="68">
        <f t="shared" si="18"/>
        <v>18200</v>
      </c>
      <c r="L17" s="71">
        <v>3218.0</v>
      </c>
      <c r="M17" s="71">
        <v>0.0</v>
      </c>
      <c r="N17" s="68">
        <f t="shared" si="3"/>
        <v>3218</v>
      </c>
      <c r="O17" s="71">
        <v>0.0</v>
      </c>
      <c r="P17" s="71">
        <v>0.0</v>
      </c>
      <c r="Q17" s="68">
        <f t="shared" si="4"/>
        <v>0</v>
      </c>
      <c r="R17" s="71">
        <v>0.0</v>
      </c>
      <c r="S17" s="71">
        <f t="shared" si="19"/>
        <v>0</v>
      </c>
      <c r="T17" s="68">
        <f t="shared" si="5"/>
        <v>0</v>
      </c>
      <c r="U17" s="71">
        <f t="shared" ref="U17:V17" si="40">R17*0.55</f>
        <v>0</v>
      </c>
      <c r="V17" s="71">
        <f t="shared" si="40"/>
        <v>0</v>
      </c>
      <c r="W17" s="68">
        <f t="shared" si="7"/>
        <v>0</v>
      </c>
      <c r="X17" s="71">
        <f t="shared" ref="X17:Y17" si="41">U17/0.95</f>
        <v>0</v>
      </c>
      <c r="Y17" s="71">
        <f t="shared" si="41"/>
        <v>0</v>
      </c>
      <c r="Z17" s="68">
        <f t="shared" si="9"/>
        <v>0</v>
      </c>
      <c r="AA17" s="71">
        <v>0.0</v>
      </c>
      <c r="AB17" s="71">
        <v>0.0</v>
      </c>
      <c r="AC17" s="68">
        <f t="shared" si="10"/>
        <v>0</v>
      </c>
      <c r="AD17" s="71">
        <f t="shared" ref="AD17:AE17" si="42">AA17*0.95</f>
        <v>0</v>
      </c>
      <c r="AE17" s="71">
        <f t="shared" si="42"/>
        <v>0</v>
      </c>
      <c r="AF17" s="68">
        <f t="shared" si="12"/>
        <v>0</v>
      </c>
      <c r="AG17" s="71">
        <v>0.0</v>
      </c>
      <c r="AH17" s="71">
        <v>0.0</v>
      </c>
      <c r="AI17" s="68">
        <f t="shared" si="13"/>
        <v>0</v>
      </c>
      <c r="AJ17" s="71">
        <f t="shared" ref="AJ17:AK17" si="43">AG17/1.05506</f>
        <v>0</v>
      </c>
      <c r="AK17" s="71">
        <f t="shared" si="43"/>
        <v>0</v>
      </c>
      <c r="AL17" s="68">
        <f t="shared" si="15"/>
        <v>0</v>
      </c>
    </row>
    <row r="18" ht="14.25" customHeight="1">
      <c r="B18" s="69">
        <v>45572.0</v>
      </c>
      <c r="C18" s="70"/>
      <c r="D18" s="70"/>
      <c r="E18" s="68">
        <f t="shared" si="1"/>
        <v>0</v>
      </c>
      <c r="F18" s="71">
        <v>969.0</v>
      </c>
      <c r="G18" s="72">
        <v>0.0</v>
      </c>
      <c r="H18" s="68">
        <f t="shared" si="16"/>
        <v>969</v>
      </c>
      <c r="I18" s="73">
        <f t="shared" ref="I18:J18" si="44">F18*55000*0.35/1000/0.55</f>
        <v>33915</v>
      </c>
      <c r="J18" s="73">
        <f t="shared" si="44"/>
        <v>0</v>
      </c>
      <c r="K18" s="68">
        <f t="shared" si="18"/>
        <v>33915</v>
      </c>
      <c r="L18" s="71">
        <v>2908.0</v>
      </c>
      <c r="M18" s="71">
        <v>0.0</v>
      </c>
      <c r="N18" s="68">
        <f t="shared" si="3"/>
        <v>2908</v>
      </c>
      <c r="O18" s="71">
        <v>0.0</v>
      </c>
      <c r="P18" s="71">
        <v>0.0</v>
      </c>
      <c r="Q18" s="68">
        <f t="shared" si="4"/>
        <v>0</v>
      </c>
      <c r="R18" s="71">
        <v>0.0</v>
      </c>
      <c r="S18" s="71">
        <f t="shared" si="19"/>
        <v>0</v>
      </c>
      <c r="T18" s="68">
        <f t="shared" si="5"/>
        <v>0</v>
      </c>
      <c r="U18" s="71">
        <f t="shared" ref="U18:V18" si="45">R18*0.55</f>
        <v>0</v>
      </c>
      <c r="V18" s="71">
        <f t="shared" si="45"/>
        <v>0</v>
      </c>
      <c r="W18" s="68">
        <f t="shared" si="7"/>
        <v>0</v>
      </c>
      <c r="X18" s="71">
        <f t="shared" ref="X18:Y18" si="46">U18/0.95</f>
        <v>0</v>
      </c>
      <c r="Y18" s="71">
        <f t="shared" si="46"/>
        <v>0</v>
      </c>
      <c r="Z18" s="68">
        <f t="shared" si="9"/>
        <v>0</v>
      </c>
      <c r="AA18" s="71">
        <v>0.0</v>
      </c>
      <c r="AB18" s="71">
        <v>0.0</v>
      </c>
      <c r="AC18" s="68">
        <f t="shared" si="10"/>
        <v>0</v>
      </c>
      <c r="AD18" s="71">
        <f t="shared" ref="AD18:AE18" si="47">AA18*0.95</f>
        <v>0</v>
      </c>
      <c r="AE18" s="71">
        <f t="shared" si="47"/>
        <v>0</v>
      </c>
      <c r="AF18" s="68">
        <f t="shared" si="12"/>
        <v>0</v>
      </c>
      <c r="AG18" s="71">
        <v>0.0</v>
      </c>
      <c r="AH18" s="71">
        <v>0.0</v>
      </c>
      <c r="AI18" s="68">
        <f t="shared" si="13"/>
        <v>0</v>
      </c>
      <c r="AJ18" s="71">
        <f t="shared" ref="AJ18:AK18" si="48">AG18/1.05506</f>
        <v>0</v>
      </c>
      <c r="AK18" s="71">
        <f t="shared" si="48"/>
        <v>0</v>
      </c>
      <c r="AL18" s="68">
        <f t="shared" si="15"/>
        <v>0</v>
      </c>
    </row>
    <row r="19" ht="14.25" customHeight="1">
      <c r="B19" s="69">
        <v>45573.0</v>
      </c>
      <c r="C19" s="70"/>
      <c r="D19" s="70"/>
      <c r="E19" s="68">
        <f t="shared" si="1"/>
        <v>0</v>
      </c>
      <c r="F19" s="71">
        <v>1297.0</v>
      </c>
      <c r="G19" s="72">
        <v>0.0</v>
      </c>
      <c r="H19" s="68">
        <f t="shared" si="16"/>
        <v>1297</v>
      </c>
      <c r="I19" s="73">
        <f t="shared" ref="I19:J19" si="49">F19*55000*0.35/1000/0.55</f>
        <v>45395</v>
      </c>
      <c r="J19" s="73">
        <f t="shared" si="49"/>
        <v>0</v>
      </c>
      <c r="K19" s="68">
        <f t="shared" si="18"/>
        <v>45395</v>
      </c>
      <c r="L19" s="71">
        <v>4982.0</v>
      </c>
      <c r="M19" s="71">
        <v>0.0</v>
      </c>
      <c r="N19" s="68">
        <f t="shared" si="3"/>
        <v>4982</v>
      </c>
      <c r="O19" s="71">
        <v>0.0</v>
      </c>
      <c r="P19" s="71">
        <v>0.0</v>
      </c>
      <c r="Q19" s="68">
        <f t="shared" si="4"/>
        <v>0</v>
      </c>
      <c r="R19" s="71">
        <v>0.0</v>
      </c>
      <c r="S19" s="71">
        <f t="shared" si="19"/>
        <v>0</v>
      </c>
      <c r="T19" s="68">
        <f t="shared" si="5"/>
        <v>0</v>
      </c>
      <c r="U19" s="71">
        <f t="shared" ref="U19:V19" si="50">R19*0.55</f>
        <v>0</v>
      </c>
      <c r="V19" s="71">
        <f t="shared" si="50"/>
        <v>0</v>
      </c>
      <c r="W19" s="68">
        <f t="shared" si="7"/>
        <v>0</v>
      </c>
      <c r="X19" s="71">
        <f t="shared" ref="X19:Y19" si="51">U19/0.95</f>
        <v>0</v>
      </c>
      <c r="Y19" s="71">
        <f t="shared" si="51"/>
        <v>0</v>
      </c>
      <c r="Z19" s="68">
        <f t="shared" si="9"/>
        <v>0</v>
      </c>
      <c r="AA19" s="71">
        <v>0.0</v>
      </c>
      <c r="AB19" s="71">
        <v>0.0</v>
      </c>
      <c r="AC19" s="68">
        <f t="shared" si="10"/>
        <v>0</v>
      </c>
      <c r="AD19" s="71">
        <f t="shared" ref="AD19:AE19" si="52">AA19*0.95</f>
        <v>0</v>
      </c>
      <c r="AE19" s="71">
        <f t="shared" si="52"/>
        <v>0</v>
      </c>
      <c r="AF19" s="68">
        <f t="shared" si="12"/>
        <v>0</v>
      </c>
      <c r="AG19" s="71">
        <v>0.0</v>
      </c>
      <c r="AH19" s="71">
        <v>0.0</v>
      </c>
      <c r="AI19" s="68">
        <f t="shared" si="13"/>
        <v>0</v>
      </c>
      <c r="AJ19" s="71">
        <f t="shared" ref="AJ19:AK19" si="53">AG19/1.05506</f>
        <v>0</v>
      </c>
      <c r="AK19" s="71">
        <f t="shared" si="53"/>
        <v>0</v>
      </c>
      <c r="AL19" s="68">
        <f t="shared" si="15"/>
        <v>0</v>
      </c>
    </row>
    <row r="20" ht="14.25" customHeight="1">
      <c r="B20" s="69">
        <v>45574.0</v>
      </c>
      <c r="C20" s="70"/>
      <c r="D20" s="70"/>
      <c r="E20" s="68">
        <f t="shared" si="1"/>
        <v>0</v>
      </c>
      <c r="F20" s="71">
        <v>1402.0</v>
      </c>
      <c r="G20" s="72">
        <v>0.0</v>
      </c>
      <c r="H20" s="68">
        <f t="shared" si="16"/>
        <v>1402</v>
      </c>
      <c r="I20" s="73">
        <f t="shared" ref="I20:J20" si="54">F20*55000*0.35/1000/0.55</f>
        <v>49070</v>
      </c>
      <c r="J20" s="73">
        <f t="shared" si="54"/>
        <v>0</v>
      </c>
      <c r="K20" s="68">
        <f t="shared" si="18"/>
        <v>49070</v>
      </c>
      <c r="L20" s="71">
        <v>6094.0</v>
      </c>
      <c r="M20" s="71">
        <v>0.0</v>
      </c>
      <c r="N20" s="68">
        <f t="shared" si="3"/>
        <v>6094</v>
      </c>
      <c r="O20" s="71">
        <v>0.0</v>
      </c>
      <c r="P20" s="71">
        <v>0.0</v>
      </c>
      <c r="Q20" s="68">
        <f t="shared" si="4"/>
        <v>0</v>
      </c>
      <c r="R20" s="71">
        <v>0.0</v>
      </c>
      <c r="S20" s="71">
        <f t="shared" si="19"/>
        <v>0</v>
      </c>
      <c r="T20" s="68">
        <f t="shared" si="5"/>
        <v>0</v>
      </c>
      <c r="U20" s="71">
        <f t="shared" ref="U20:V20" si="55">R20*0.55</f>
        <v>0</v>
      </c>
      <c r="V20" s="71">
        <f t="shared" si="55"/>
        <v>0</v>
      </c>
      <c r="W20" s="68">
        <f t="shared" si="7"/>
        <v>0</v>
      </c>
      <c r="X20" s="71">
        <f t="shared" ref="X20:Y20" si="56">U20/0.95</f>
        <v>0</v>
      </c>
      <c r="Y20" s="71">
        <f t="shared" si="56"/>
        <v>0</v>
      </c>
      <c r="Z20" s="68">
        <f t="shared" si="9"/>
        <v>0</v>
      </c>
      <c r="AA20" s="71">
        <v>0.0</v>
      </c>
      <c r="AB20" s="71">
        <v>0.0</v>
      </c>
      <c r="AC20" s="68">
        <f t="shared" si="10"/>
        <v>0</v>
      </c>
      <c r="AD20" s="71">
        <f t="shared" ref="AD20:AE20" si="57">AA20*0.95</f>
        <v>0</v>
      </c>
      <c r="AE20" s="71">
        <f t="shared" si="57"/>
        <v>0</v>
      </c>
      <c r="AF20" s="68">
        <f t="shared" si="12"/>
        <v>0</v>
      </c>
      <c r="AG20" s="71">
        <v>0.0</v>
      </c>
      <c r="AH20" s="71">
        <v>0.0</v>
      </c>
      <c r="AI20" s="68">
        <f t="shared" si="13"/>
        <v>0</v>
      </c>
      <c r="AJ20" s="71">
        <f t="shared" ref="AJ20:AK20" si="58">AG20/1.05506</f>
        <v>0</v>
      </c>
      <c r="AK20" s="71">
        <f t="shared" si="58"/>
        <v>0</v>
      </c>
      <c r="AL20" s="68">
        <f t="shared" si="15"/>
        <v>0</v>
      </c>
    </row>
    <row r="21" ht="14.25" customHeight="1">
      <c r="B21" s="69">
        <v>45575.0</v>
      </c>
      <c r="C21" s="70"/>
      <c r="D21" s="70"/>
      <c r="E21" s="68">
        <f t="shared" si="1"/>
        <v>0</v>
      </c>
      <c r="F21" s="71">
        <v>1273.0</v>
      </c>
      <c r="G21" s="72">
        <v>0.0</v>
      </c>
      <c r="H21" s="68">
        <f t="shared" si="16"/>
        <v>1273</v>
      </c>
      <c r="I21" s="73">
        <f t="shared" ref="I21:J21" si="59">F21*55000*0.35/1000/0.55</f>
        <v>44555</v>
      </c>
      <c r="J21" s="73">
        <f t="shared" si="59"/>
        <v>0</v>
      </c>
      <c r="K21" s="68">
        <f t="shared" si="18"/>
        <v>44555</v>
      </c>
      <c r="L21" s="71">
        <v>10846.0</v>
      </c>
      <c r="M21" s="71">
        <v>0.0</v>
      </c>
      <c r="N21" s="68">
        <f t="shared" si="3"/>
        <v>10846</v>
      </c>
      <c r="O21" s="71">
        <v>0.0</v>
      </c>
      <c r="P21" s="71">
        <v>0.0</v>
      </c>
      <c r="Q21" s="68">
        <f t="shared" si="4"/>
        <v>0</v>
      </c>
      <c r="R21" s="71">
        <v>0.0</v>
      </c>
      <c r="S21" s="71">
        <f t="shared" si="19"/>
        <v>0</v>
      </c>
      <c r="T21" s="68">
        <f t="shared" si="5"/>
        <v>0</v>
      </c>
      <c r="U21" s="71">
        <f t="shared" ref="U21:V21" si="60">R21*0.55</f>
        <v>0</v>
      </c>
      <c r="V21" s="71">
        <f t="shared" si="60"/>
        <v>0</v>
      </c>
      <c r="W21" s="68">
        <f t="shared" si="7"/>
        <v>0</v>
      </c>
      <c r="X21" s="71">
        <f t="shared" ref="X21:Y21" si="61">U21/0.95</f>
        <v>0</v>
      </c>
      <c r="Y21" s="71">
        <f t="shared" si="61"/>
        <v>0</v>
      </c>
      <c r="Z21" s="68">
        <f t="shared" si="9"/>
        <v>0</v>
      </c>
      <c r="AA21" s="71">
        <v>0.0</v>
      </c>
      <c r="AB21" s="71">
        <v>0.0</v>
      </c>
      <c r="AC21" s="68">
        <f t="shared" si="10"/>
        <v>0</v>
      </c>
      <c r="AD21" s="71">
        <f t="shared" ref="AD21:AE21" si="62">AA21*0.95</f>
        <v>0</v>
      </c>
      <c r="AE21" s="71">
        <f t="shared" si="62"/>
        <v>0</v>
      </c>
      <c r="AF21" s="68">
        <f t="shared" si="12"/>
        <v>0</v>
      </c>
      <c r="AG21" s="71">
        <v>0.0</v>
      </c>
      <c r="AH21" s="71">
        <v>0.0</v>
      </c>
      <c r="AI21" s="68">
        <f t="shared" si="13"/>
        <v>0</v>
      </c>
      <c r="AJ21" s="71">
        <f t="shared" ref="AJ21:AK21" si="63">AG21/1.05506</f>
        <v>0</v>
      </c>
      <c r="AK21" s="71">
        <f t="shared" si="63"/>
        <v>0</v>
      </c>
      <c r="AL21" s="68">
        <f t="shared" si="15"/>
        <v>0</v>
      </c>
    </row>
    <row r="22" ht="14.25" customHeight="1">
      <c r="B22" s="69">
        <v>45576.0</v>
      </c>
      <c r="C22" s="70"/>
      <c r="D22" s="70"/>
      <c r="E22" s="68">
        <f t="shared" si="1"/>
        <v>0</v>
      </c>
      <c r="F22" s="71">
        <v>1258.0</v>
      </c>
      <c r="G22" s="72">
        <v>0.0</v>
      </c>
      <c r="H22" s="68">
        <f t="shared" si="16"/>
        <v>1258</v>
      </c>
      <c r="I22" s="73">
        <f t="shared" ref="I22:J22" si="64">F22*55000*0.35/1000/0.55</f>
        <v>44030</v>
      </c>
      <c r="J22" s="73">
        <f t="shared" si="64"/>
        <v>0</v>
      </c>
      <c r="K22" s="68">
        <f t="shared" si="18"/>
        <v>44030</v>
      </c>
      <c r="L22" s="71">
        <v>14861.0</v>
      </c>
      <c r="M22" s="71">
        <v>0.0</v>
      </c>
      <c r="N22" s="68">
        <f t="shared" si="3"/>
        <v>14861</v>
      </c>
      <c r="O22" s="71">
        <v>0.0</v>
      </c>
      <c r="P22" s="71">
        <v>0.0</v>
      </c>
      <c r="Q22" s="68">
        <f t="shared" si="4"/>
        <v>0</v>
      </c>
      <c r="R22" s="71">
        <v>0.0</v>
      </c>
      <c r="S22" s="71">
        <f t="shared" si="19"/>
        <v>0</v>
      </c>
      <c r="T22" s="68">
        <f t="shared" si="5"/>
        <v>0</v>
      </c>
      <c r="U22" s="71">
        <f t="shared" ref="U22:V22" si="65">R22*0.55</f>
        <v>0</v>
      </c>
      <c r="V22" s="71">
        <f t="shared" si="65"/>
        <v>0</v>
      </c>
      <c r="W22" s="68">
        <f t="shared" si="7"/>
        <v>0</v>
      </c>
      <c r="X22" s="71">
        <f t="shared" ref="X22:Y22" si="66">U22/0.95</f>
        <v>0</v>
      </c>
      <c r="Y22" s="71">
        <f t="shared" si="66"/>
        <v>0</v>
      </c>
      <c r="Z22" s="68">
        <f t="shared" si="9"/>
        <v>0</v>
      </c>
      <c r="AA22" s="71">
        <v>0.0</v>
      </c>
      <c r="AB22" s="71">
        <v>0.0</v>
      </c>
      <c r="AC22" s="68">
        <f t="shared" si="10"/>
        <v>0</v>
      </c>
      <c r="AD22" s="71">
        <f t="shared" ref="AD22:AE22" si="67">AA22*0.95</f>
        <v>0</v>
      </c>
      <c r="AE22" s="71">
        <f t="shared" si="67"/>
        <v>0</v>
      </c>
      <c r="AF22" s="68">
        <f t="shared" si="12"/>
        <v>0</v>
      </c>
      <c r="AG22" s="71">
        <v>0.0</v>
      </c>
      <c r="AH22" s="71">
        <v>0.0</v>
      </c>
      <c r="AI22" s="68">
        <f t="shared" si="13"/>
        <v>0</v>
      </c>
      <c r="AJ22" s="71">
        <f t="shared" ref="AJ22:AK22" si="68">AG22/1.05506</f>
        <v>0</v>
      </c>
      <c r="AK22" s="71">
        <f t="shared" si="68"/>
        <v>0</v>
      </c>
      <c r="AL22" s="68">
        <f t="shared" si="15"/>
        <v>0</v>
      </c>
    </row>
    <row r="23" ht="14.25" customHeight="1">
      <c r="B23" s="69">
        <v>45577.0</v>
      </c>
      <c r="C23" s="70"/>
      <c r="D23" s="70"/>
      <c r="E23" s="68">
        <f t="shared" si="1"/>
        <v>0</v>
      </c>
      <c r="F23" s="71">
        <v>1205.0</v>
      </c>
      <c r="G23" s="72">
        <v>0.0</v>
      </c>
      <c r="H23" s="68">
        <f t="shared" si="16"/>
        <v>1205</v>
      </c>
      <c r="I23" s="73">
        <f t="shared" ref="I23:J23" si="69">F23*55000*0.35/1000/0.55</f>
        <v>42175</v>
      </c>
      <c r="J23" s="73">
        <f t="shared" si="69"/>
        <v>0</v>
      </c>
      <c r="K23" s="68">
        <f t="shared" si="18"/>
        <v>42175</v>
      </c>
      <c r="L23" s="71">
        <v>19540.0</v>
      </c>
      <c r="M23" s="71">
        <v>0.0</v>
      </c>
      <c r="N23" s="68">
        <f t="shared" si="3"/>
        <v>19540</v>
      </c>
      <c r="O23" s="71">
        <v>0.0</v>
      </c>
      <c r="P23" s="71">
        <v>0.0</v>
      </c>
      <c r="Q23" s="68">
        <f t="shared" si="4"/>
        <v>0</v>
      </c>
      <c r="R23" s="71">
        <v>0.0</v>
      </c>
      <c r="S23" s="71">
        <f t="shared" si="19"/>
        <v>0</v>
      </c>
      <c r="T23" s="68">
        <f t="shared" si="5"/>
        <v>0</v>
      </c>
      <c r="U23" s="71">
        <f t="shared" ref="U23:V23" si="70">R23*0.55</f>
        <v>0</v>
      </c>
      <c r="V23" s="71">
        <f t="shared" si="70"/>
        <v>0</v>
      </c>
      <c r="W23" s="68">
        <f t="shared" si="7"/>
        <v>0</v>
      </c>
      <c r="X23" s="71">
        <f t="shared" ref="X23:Y23" si="71">U23/0.95</f>
        <v>0</v>
      </c>
      <c r="Y23" s="71">
        <f t="shared" si="71"/>
        <v>0</v>
      </c>
      <c r="Z23" s="68">
        <f t="shared" si="9"/>
        <v>0</v>
      </c>
      <c r="AA23" s="71">
        <v>0.0</v>
      </c>
      <c r="AB23" s="71">
        <v>0.0</v>
      </c>
      <c r="AC23" s="68">
        <f t="shared" si="10"/>
        <v>0</v>
      </c>
      <c r="AD23" s="71">
        <f t="shared" ref="AD23:AE23" si="72">AA23*0.95</f>
        <v>0</v>
      </c>
      <c r="AE23" s="71">
        <f t="shared" si="72"/>
        <v>0</v>
      </c>
      <c r="AF23" s="68">
        <f t="shared" si="12"/>
        <v>0</v>
      </c>
      <c r="AG23" s="71">
        <v>0.0</v>
      </c>
      <c r="AH23" s="71">
        <v>0.0</v>
      </c>
      <c r="AI23" s="68">
        <f t="shared" si="13"/>
        <v>0</v>
      </c>
      <c r="AJ23" s="71">
        <f t="shared" ref="AJ23:AK23" si="73">AG23/1.05506</f>
        <v>0</v>
      </c>
      <c r="AK23" s="71">
        <f t="shared" si="73"/>
        <v>0</v>
      </c>
      <c r="AL23" s="68">
        <f t="shared" si="15"/>
        <v>0</v>
      </c>
    </row>
    <row r="24" ht="14.25" customHeight="1">
      <c r="B24" s="69">
        <v>45578.0</v>
      </c>
      <c r="C24" s="70"/>
      <c r="D24" s="70"/>
      <c r="E24" s="68">
        <f t="shared" si="1"/>
        <v>0</v>
      </c>
      <c r="F24" s="71">
        <v>360.0</v>
      </c>
      <c r="G24" s="72">
        <v>0.0</v>
      </c>
      <c r="H24" s="68">
        <f t="shared" si="16"/>
        <v>360</v>
      </c>
      <c r="I24" s="73">
        <f t="shared" ref="I24:J24" si="74">F24*55000*0.35/1000/0.55</f>
        <v>12600</v>
      </c>
      <c r="J24" s="73">
        <f t="shared" si="74"/>
        <v>0</v>
      </c>
      <c r="K24" s="68">
        <f t="shared" si="18"/>
        <v>12600</v>
      </c>
      <c r="L24" s="71">
        <v>21457.0</v>
      </c>
      <c r="M24" s="71">
        <v>0.0</v>
      </c>
      <c r="N24" s="68">
        <f t="shared" si="3"/>
        <v>21457</v>
      </c>
      <c r="O24" s="71">
        <v>0.0</v>
      </c>
      <c r="P24" s="71">
        <v>0.0</v>
      </c>
      <c r="Q24" s="68">
        <f t="shared" si="4"/>
        <v>0</v>
      </c>
      <c r="R24" s="71">
        <v>0.0</v>
      </c>
      <c r="S24" s="71">
        <f t="shared" si="19"/>
        <v>0</v>
      </c>
      <c r="T24" s="68">
        <f t="shared" si="5"/>
        <v>0</v>
      </c>
      <c r="U24" s="71">
        <f t="shared" ref="U24:V24" si="75">R24*0.55</f>
        <v>0</v>
      </c>
      <c r="V24" s="71">
        <f t="shared" si="75"/>
        <v>0</v>
      </c>
      <c r="W24" s="68">
        <f t="shared" si="7"/>
        <v>0</v>
      </c>
      <c r="X24" s="71">
        <f t="shared" ref="X24:Y24" si="76">U24/0.95</f>
        <v>0</v>
      </c>
      <c r="Y24" s="71">
        <f t="shared" si="76"/>
        <v>0</v>
      </c>
      <c r="Z24" s="68">
        <f t="shared" si="9"/>
        <v>0</v>
      </c>
      <c r="AA24" s="71">
        <v>0.0</v>
      </c>
      <c r="AB24" s="71">
        <v>0.0</v>
      </c>
      <c r="AC24" s="68">
        <f t="shared" si="10"/>
        <v>0</v>
      </c>
      <c r="AD24" s="71">
        <f t="shared" ref="AD24:AE24" si="77">AA24*0.95</f>
        <v>0</v>
      </c>
      <c r="AE24" s="71">
        <f t="shared" si="77"/>
        <v>0</v>
      </c>
      <c r="AF24" s="68">
        <f t="shared" si="12"/>
        <v>0</v>
      </c>
      <c r="AG24" s="71">
        <v>0.0</v>
      </c>
      <c r="AH24" s="71">
        <v>0.0</v>
      </c>
      <c r="AI24" s="68">
        <f t="shared" si="13"/>
        <v>0</v>
      </c>
      <c r="AJ24" s="71">
        <f t="shared" ref="AJ24:AK24" si="78">AG24/1.05506</f>
        <v>0</v>
      </c>
      <c r="AK24" s="71">
        <f t="shared" si="78"/>
        <v>0</v>
      </c>
      <c r="AL24" s="68">
        <f t="shared" si="15"/>
        <v>0</v>
      </c>
    </row>
    <row r="25" ht="14.25" customHeight="1">
      <c r="B25" s="69">
        <v>45579.0</v>
      </c>
      <c r="C25" s="70"/>
      <c r="D25" s="70"/>
      <c r="E25" s="68">
        <f t="shared" si="1"/>
        <v>0</v>
      </c>
      <c r="F25" s="71">
        <v>1402.0</v>
      </c>
      <c r="G25" s="72">
        <v>0.0</v>
      </c>
      <c r="H25" s="68">
        <f t="shared" si="16"/>
        <v>1402</v>
      </c>
      <c r="I25" s="73">
        <f t="shared" ref="I25:J25" si="79">F25*55000*0.35/1000/0.55</f>
        <v>49070</v>
      </c>
      <c r="J25" s="73">
        <f t="shared" si="79"/>
        <v>0</v>
      </c>
      <c r="K25" s="68">
        <f t="shared" si="18"/>
        <v>49070</v>
      </c>
      <c r="L25" s="71">
        <v>21265.0</v>
      </c>
      <c r="M25" s="71">
        <v>0.0</v>
      </c>
      <c r="N25" s="68">
        <f t="shared" si="3"/>
        <v>21265</v>
      </c>
      <c r="O25" s="71">
        <v>0.0</v>
      </c>
      <c r="P25" s="71">
        <v>0.0</v>
      </c>
      <c r="Q25" s="68">
        <f t="shared" si="4"/>
        <v>0</v>
      </c>
      <c r="R25" s="71">
        <v>0.0</v>
      </c>
      <c r="S25" s="71">
        <f t="shared" si="19"/>
        <v>0</v>
      </c>
      <c r="T25" s="68">
        <f t="shared" si="5"/>
        <v>0</v>
      </c>
      <c r="U25" s="71">
        <f t="shared" ref="U25:V25" si="80">R25*0.55</f>
        <v>0</v>
      </c>
      <c r="V25" s="71">
        <f t="shared" si="80"/>
        <v>0</v>
      </c>
      <c r="W25" s="68">
        <f t="shared" si="7"/>
        <v>0</v>
      </c>
      <c r="X25" s="71">
        <f t="shared" ref="X25:Y25" si="81">U25/0.95</f>
        <v>0</v>
      </c>
      <c r="Y25" s="71">
        <f t="shared" si="81"/>
        <v>0</v>
      </c>
      <c r="Z25" s="68">
        <f t="shared" si="9"/>
        <v>0</v>
      </c>
      <c r="AA25" s="71">
        <v>0.0</v>
      </c>
      <c r="AB25" s="71">
        <v>0.0</v>
      </c>
      <c r="AC25" s="68">
        <f t="shared" si="10"/>
        <v>0</v>
      </c>
      <c r="AD25" s="71">
        <f t="shared" ref="AD25:AE25" si="82">AA25*0.95</f>
        <v>0</v>
      </c>
      <c r="AE25" s="71">
        <f t="shared" si="82"/>
        <v>0</v>
      </c>
      <c r="AF25" s="68">
        <f t="shared" si="12"/>
        <v>0</v>
      </c>
      <c r="AG25" s="71">
        <v>0.0</v>
      </c>
      <c r="AH25" s="71">
        <v>0.0</v>
      </c>
      <c r="AI25" s="68">
        <f t="shared" si="13"/>
        <v>0</v>
      </c>
      <c r="AJ25" s="71">
        <f t="shared" ref="AJ25:AK25" si="83">AG25/1.05506</f>
        <v>0</v>
      </c>
      <c r="AK25" s="71">
        <f t="shared" si="83"/>
        <v>0</v>
      </c>
      <c r="AL25" s="68">
        <f t="shared" si="15"/>
        <v>0</v>
      </c>
    </row>
    <row r="26" ht="14.25" customHeight="1">
      <c r="B26" s="69">
        <v>45580.0</v>
      </c>
      <c r="C26" s="70"/>
      <c r="D26" s="70"/>
      <c r="E26" s="68">
        <f t="shared" si="1"/>
        <v>0</v>
      </c>
      <c r="F26" s="71">
        <v>1207.0</v>
      </c>
      <c r="G26" s="72">
        <v>0.0</v>
      </c>
      <c r="H26" s="68">
        <f t="shared" si="16"/>
        <v>1207</v>
      </c>
      <c r="I26" s="73">
        <f t="shared" ref="I26:J26" si="84">F26*55000*0.35/1000/0.55</f>
        <v>42245</v>
      </c>
      <c r="J26" s="73">
        <f t="shared" si="84"/>
        <v>0</v>
      </c>
      <c r="K26" s="68">
        <f t="shared" si="18"/>
        <v>42245</v>
      </c>
      <c r="L26" s="71">
        <v>20539.0</v>
      </c>
      <c r="M26" s="71">
        <v>0.0</v>
      </c>
      <c r="N26" s="68">
        <f t="shared" si="3"/>
        <v>20539</v>
      </c>
      <c r="O26" s="71">
        <v>0.0</v>
      </c>
      <c r="P26" s="71">
        <v>0.0</v>
      </c>
      <c r="Q26" s="68">
        <f t="shared" si="4"/>
        <v>0</v>
      </c>
      <c r="R26" s="71">
        <v>0.0</v>
      </c>
      <c r="S26" s="71">
        <f t="shared" si="19"/>
        <v>0</v>
      </c>
      <c r="T26" s="68">
        <f t="shared" si="5"/>
        <v>0</v>
      </c>
      <c r="U26" s="71">
        <f t="shared" ref="U26:V26" si="85">R26*0.55</f>
        <v>0</v>
      </c>
      <c r="V26" s="71">
        <f t="shared" si="85"/>
        <v>0</v>
      </c>
      <c r="W26" s="68">
        <f t="shared" si="7"/>
        <v>0</v>
      </c>
      <c r="X26" s="71">
        <f t="shared" ref="X26:Y26" si="86">U26/0.95</f>
        <v>0</v>
      </c>
      <c r="Y26" s="71">
        <f t="shared" si="86"/>
        <v>0</v>
      </c>
      <c r="Z26" s="68">
        <f t="shared" si="9"/>
        <v>0</v>
      </c>
      <c r="AA26" s="71">
        <v>0.0</v>
      </c>
      <c r="AB26" s="71">
        <v>0.0</v>
      </c>
      <c r="AC26" s="68">
        <f t="shared" si="10"/>
        <v>0</v>
      </c>
      <c r="AD26" s="71">
        <f t="shared" ref="AD26:AE26" si="87">AA26*0.95</f>
        <v>0</v>
      </c>
      <c r="AE26" s="71">
        <f t="shared" si="87"/>
        <v>0</v>
      </c>
      <c r="AF26" s="68">
        <f t="shared" si="12"/>
        <v>0</v>
      </c>
      <c r="AG26" s="71">
        <v>0.0</v>
      </c>
      <c r="AH26" s="71">
        <v>0.0</v>
      </c>
      <c r="AI26" s="68">
        <f t="shared" si="13"/>
        <v>0</v>
      </c>
      <c r="AJ26" s="71">
        <f t="shared" ref="AJ26:AK26" si="88">AG26/1.05506</f>
        <v>0</v>
      </c>
      <c r="AK26" s="71">
        <f t="shared" si="88"/>
        <v>0</v>
      </c>
      <c r="AL26" s="68">
        <f t="shared" si="15"/>
        <v>0</v>
      </c>
    </row>
    <row r="27" ht="14.25" customHeight="1">
      <c r="B27" s="69">
        <v>45581.0</v>
      </c>
      <c r="C27" s="70"/>
      <c r="D27" s="70"/>
      <c r="E27" s="68">
        <f t="shared" si="1"/>
        <v>0</v>
      </c>
      <c r="F27" s="71">
        <v>1155.0</v>
      </c>
      <c r="G27" s="72">
        <v>0.0</v>
      </c>
      <c r="H27" s="68">
        <f t="shared" si="16"/>
        <v>1155</v>
      </c>
      <c r="I27" s="73">
        <f t="shared" ref="I27:J27" si="89">F27*55000*0.35/1000/0.55</f>
        <v>40425</v>
      </c>
      <c r="J27" s="73">
        <f t="shared" si="89"/>
        <v>0</v>
      </c>
      <c r="K27" s="68">
        <f t="shared" si="18"/>
        <v>40425</v>
      </c>
      <c r="L27" s="71">
        <v>23073.0</v>
      </c>
      <c r="M27" s="71">
        <v>0.0</v>
      </c>
      <c r="N27" s="68">
        <f t="shared" si="3"/>
        <v>23073</v>
      </c>
      <c r="O27" s="71">
        <v>618.7050359712231</v>
      </c>
      <c r="P27" s="71">
        <v>0.0</v>
      </c>
      <c r="Q27" s="68">
        <f t="shared" si="4"/>
        <v>618.705036</v>
      </c>
      <c r="R27" s="71">
        <f t="shared" ref="R27:S27" si="90">L27-O27</f>
        <v>22454.29496</v>
      </c>
      <c r="S27" s="71">
        <f t="shared" si="90"/>
        <v>0</v>
      </c>
      <c r="T27" s="68">
        <f t="shared" si="5"/>
        <v>22454.29496</v>
      </c>
      <c r="U27" s="71">
        <f t="shared" ref="U27:V27" si="91">R27*0.55</f>
        <v>12349.86223</v>
      </c>
      <c r="V27" s="71">
        <f t="shared" si="91"/>
        <v>0</v>
      </c>
      <c r="W27" s="68">
        <f t="shared" si="7"/>
        <v>12349.86223</v>
      </c>
      <c r="X27" s="71">
        <f t="shared" ref="X27:Y27" si="92">U27/0.95</f>
        <v>12999.85498</v>
      </c>
      <c r="Y27" s="71">
        <f t="shared" si="92"/>
        <v>0</v>
      </c>
      <c r="Z27" s="68">
        <f t="shared" si="9"/>
        <v>12999.85498</v>
      </c>
      <c r="AA27" s="71">
        <v>0.0</v>
      </c>
      <c r="AB27" s="71">
        <v>0.0</v>
      </c>
      <c r="AC27" s="68">
        <f t="shared" si="10"/>
        <v>0</v>
      </c>
      <c r="AD27" s="71">
        <f t="shared" ref="AD27:AE27" si="93">AA27*0.95</f>
        <v>0</v>
      </c>
      <c r="AE27" s="71">
        <f t="shared" si="93"/>
        <v>0</v>
      </c>
      <c r="AF27" s="68">
        <f t="shared" si="12"/>
        <v>0</v>
      </c>
      <c r="AG27" s="71">
        <v>0.0</v>
      </c>
      <c r="AH27" s="71">
        <v>0.0</v>
      </c>
      <c r="AI27" s="68">
        <f t="shared" si="13"/>
        <v>0</v>
      </c>
      <c r="AJ27" s="71">
        <f t="shared" ref="AJ27:AK27" si="94">AG27/1.05506</f>
        <v>0</v>
      </c>
      <c r="AK27" s="71">
        <f t="shared" si="94"/>
        <v>0</v>
      </c>
      <c r="AL27" s="68">
        <f t="shared" si="15"/>
        <v>0</v>
      </c>
    </row>
    <row r="28" ht="14.25" customHeight="1">
      <c r="B28" s="69">
        <v>45582.0</v>
      </c>
      <c r="C28" s="70"/>
      <c r="D28" s="70"/>
      <c r="E28" s="68">
        <f t="shared" si="1"/>
        <v>0</v>
      </c>
      <c r="F28" s="71">
        <v>1097.0</v>
      </c>
      <c r="G28" s="72">
        <v>0.0</v>
      </c>
      <c r="H28" s="68">
        <f t="shared" si="16"/>
        <v>1097</v>
      </c>
      <c r="I28" s="73">
        <f t="shared" ref="I28:J28" si="95">F28*55000*0.35/1000/0.55</f>
        <v>38395</v>
      </c>
      <c r="J28" s="73">
        <f t="shared" si="95"/>
        <v>0</v>
      </c>
      <c r="K28" s="68">
        <f t="shared" si="18"/>
        <v>38395</v>
      </c>
      <c r="L28" s="71">
        <v>23706.0</v>
      </c>
      <c r="M28" s="71">
        <v>0.0</v>
      </c>
      <c r="N28" s="68">
        <f t="shared" si="3"/>
        <v>23706</v>
      </c>
      <c r="O28" s="71">
        <v>2008.63309352518</v>
      </c>
      <c r="P28" s="71">
        <v>0.0</v>
      </c>
      <c r="Q28" s="68">
        <f t="shared" si="4"/>
        <v>2008.633094</v>
      </c>
      <c r="R28" s="71">
        <f t="shared" ref="R28:S28" si="96">L28-O28</f>
        <v>21697.36691</v>
      </c>
      <c r="S28" s="71">
        <f t="shared" si="96"/>
        <v>0</v>
      </c>
      <c r="T28" s="68">
        <f t="shared" si="5"/>
        <v>21697.36691</v>
      </c>
      <c r="U28" s="71">
        <f t="shared" ref="U28:V28" si="97">R28*0.55</f>
        <v>11933.5518</v>
      </c>
      <c r="V28" s="71">
        <f t="shared" si="97"/>
        <v>0</v>
      </c>
      <c r="W28" s="68">
        <f t="shared" si="7"/>
        <v>11933.5518</v>
      </c>
      <c r="X28" s="71">
        <f t="shared" ref="X28:Y28" si="98">U28/0.95</f>
        <v>12561.63347</v>
      </c>
      <c r="Y28" s="71">
        <f t="shared" si="98"/>
        <v>0</v>
      </c>
      <c r="Z28" s="68">
        <f t="shared" si="9"/>
        <v>12561.63347</v>
      </c>
      <c r="AA28" s="71">
        <v>0.0</v>
      </c>
      <c r="AB28" s="71">
        <v>0.0</v>
      </c>
      <c r="AC28" s="68">
        <f t="shared" si="10"/>
        <v>0</v>
      </c>
      <c r="AD28" s="71">
        <f t="shared" ref="AD28:AE28" si="99">AA28*0.95</f>
        <v>0</v>
      </c>
      <c r="AE28" s="71">
        <f t="shared" si="99"/>
        <v>0</v>
      </c>
      <c r="AF28" s="68">
        <f t="shared" si="12"/>
        <v>0</v>
      </c>
      <c r="AG28" s="71">
        <v>0.0</v>
      </c>
      <c r="AH28" s="71">
        <v>0.0</v>
      </c>
      <c r="AI28" s="68">
        <f t="shared" si="13"/>
        <v>0</v>
      </c>
      <c r="AJ28" s="71">
        <f t="shared" ref="AJ28:AK28" si="100">AG28/1.05506</f>
        <v>0</v>
      </c>
      <c r="AK28" s="71">
        <f t="shared" si="100"/>
        <v>0</v>
      </c>
      <c r="AL28" s="68">
        <f t="shared" si="15"/>
        <v>0</v>
      </c>
    </row>
    <row r="29" ht="14.25" customHeight="1">
      <c r="B29" s="69">
        <v>45583.0</v>
      </c>
      <c r="C29" s="70"/>
      <c r="D29" s="70"/>
      <c r="E29" s="68">
        <f t="shared" si="1"/>
        <v>0</v>
      </c>
      <c r="F29" s="71">
        <v>867.0</v>
      </c>
      <c r="G29" s="72">
        <v>0.0</v>
      </c>
      <c r="H29" s="68">
        <f t="shared" si="16"/>
        <v>867</v>
      </c>
      <c r="I29" s="73">
        <f t="shared" ref="I29:J29" si="101">F29*55000*0.35/1000/0.55</f>
        <v>30345</v>
      </c>
      <c r="J29" s="73">
        <f t="shared" si="101"/>
        <v>0</v>
      </c>
      <c r="K29" s="68">
        <f t="shared" si="18"/>
        <v>30345</v>
      </c>
      <c r="L29" s="71">
        <v>28007.0</v>
      </c>
      <c r="M29" s="71">
        <v>0.0</v>
      </c>
      <c r="N29" s="68">
        <f t="shared" si="3"/>
        <v>28007</v>
      </c>
      <c r="O29" s="71">
        <v>3617.985611510792</v>
      </c>
      <c r="P29" s="71">
        <v>0.0</v>
      </c>
      <c r="Q29" s="68">
        <f t="shared" si="4"/>
        <v>3617.985612</v>
      </c>
      <c r="R29" s="71">
        <f t="shared" ref="R29:S29" si="102">L29-O29</f>
        <v>24389.01439</v>
      </c>
      <c r="S29" s="71">
        <f t="shared" si="102"/>
        <v>0</v>
      </c>
      <c r="T29" s="68">
        <f t="shared" si="5"/>
        <v>24389.01439</v>
      </c>
      <c r="U29" s="71">
        <f t="shared" ref="U29:V29" si="103">R29*0.55</f>
        <v>13413.95791</v>
      </c>
      <c r="V29" s="71">
        <f t="shared" si="103"/>
        <v>0</v>
      </c>
      <c r="W29" s="68">
        <f t="shared" si="7"/>
        <v>13413.95791</v>
      </c>
      <c r="X29" s="71">
        <f t="shared" ref="X29:Y29" si="104">U29/0.95</f>
        <v>14119.9557</v>
      </c>
      <c r="Y29" s="71">
        <f t="shared" si="104"/>
        <v>0</v>
      </c>
      <c r="Z29" s="68">
        <f t="shared" si="9"/>
        <v>14119.9557</v>
      </c>
      <c r="AA29" s="71">
        <v>6193.002</v>
      </c>
      <c r="AB29" s="71">
        <v>0.0</v>
      </c>
      <c r="AC29" s="68">
        <f t="shared" si="10"/>
        <v>6193.002</v>
      </c>
      <c r="AD29" s="71">
        <f t="shared" ref="AD29:AE29" si="105">AA29*0.95</f>
        <v>5883.3519</v>
      </c>
      <c r="AE29" s="71">
        <f t="shared" si="105"/>
        <v>0</v>
      </c>
      <c r="AF29" s="68">
        <f t="shared" si="12"/>
        <v>5883.3519</v>
      </c>
      <c r="AG29" s="71">
        <v>221.0</v>
      </c>
      <c r="AH29" s="71">
        <v>0.0</v>
      </c>
      <c r="AI29" s="68">
        <f t="shared" si="13"/>
        <v>221</v>
      </c>
      <c r="AJ29" s="71">
        <f t="shared" ref="AJ29:AK29" si="106">AG29/1.05506</f>
        <v>209.4667602</v>
      </c>
      <c r="AK29" s="71">
        <f t="shared" si="106"/>
        <v>0</v>
      </c>
      <c r="AL29" s="68">
        <f t="shared" si="15"/>
        <v>209.4667602</v>
      </c>
    </row>
    <row r="30" ht="14.25" customHeight="1">
      <c r="B30" s="69">
        <v>45584.0</v>
      </c>
      <c r="C30" s="70"/>
      <c r="D30" s="70"/>
      <c r="E30" s="68">
        <f t="shared" si="1"/>
        <v>0</v>
      </c>
      <c r="F30" s="71">
        <v>1219.0</v>
      </c>
      <c r="G30" s="72">
        <v>0.0</v>
      </c>
      <c r="H30" s="68">
        <f t="shared" si="16"/>
        <v>1219</v>
      </c>
      <c r="I30" s="73">
        <f t="shared" ref="I30:J30" si="107">F30*55000*0.35/1000/0.55</f>
        <v>42665</v>
      </c>
      <c r="J30" s="73">
        <f t="shared" si="107"/>
        <v>0</v>
      </c>
      <c r="K30" s="68">
        <f t="shared" si="18"/>
        <v>42665</v>
      </c>
      <c r="L30" s="71">
        <v>29774.0</v>
      </c>
      <c r="M30" s="71">
        <v>0.0</v>
      </c>
      <c r="N30" s="68">
        <f t="shared" si="3"/>
        <v>29774</v>
      </c>
      <c r="O30" s="71">
        <v>4299.280575539568</v>
      </c>
      <c r="P30" s="71">
        <v>0.0</v>
      </c>
      <c r="Q30" s="68">
        <f t="shared" si="4"/>
        <v>4299.280576</v>
      </c>
      <c r="R30" s="71">
        <f t="shared" ref="R30:S30" si="108">L30-O30</f>
        <v>25474.71942</v>
      </c>
      <c r="S30" s="71">
        <f t="shared" si="108"/>
        <v>0</v>
      </c>
      <c r="T30" s="68">
        <f t="shared" si="5"/>
        <v>25474.71942</v>
      </c>
      <c r="U30" s="71">
        <f t="shared" ref="U30:V30" si="109">R30*0.55</f>
        <v>14011.09568</v>
      </c>
      <c r="V30" s="71">
        <f t="shared" si="109"/>
        <v>0</v>
      </c>
      <c r="W30" s="68">
        <f t="shared" si="7"/>
        <v>14011.09568</v>
      </c>
      <c r="X30" s="71">
        <f t="shared" ref="X30:Y30" si="110">U30/0.95</f>
        <v>14748.52177</v>
      </c>
      <c r="Y30" s="71">
        <f t="shared" si="110"/>
        <v>0</v>
      </c>
      <c r="Z30" s="68">
        <f t="shared" si="9"/>
        <v>14748.52177</v>
      </c>
      <c r="AA30" s="71">
        <v>9349.1747</v>
      </c>
      <c r="AB30" s="71">
        <v>0.0</v>
      </c>
      <c r="AC30" s="68">
        <f t="shared" si="10"/>
        <v>9349.1747</v>
      </c>
      <c r="AD30" s="71">
        <f t="shared" ref="AD30:AE30" si="111">AA30*0.95</f>
        <v>8881.715965</v>
      </c>
      <c r="AE30" s="71">
        <f t="shared" si="111"/>
        <v>0</v>
      </c>
      <c r="AF30" s="68">
        <f t="shared" si="12"/>
        <v>8881.715965</v>
      </c>
      <c r="AG30" s="71">
        <v>333.0</v>
      </c>
      <c r="AH30" s="71">
        <v>0.0</v>
      </c>
      <c r="AI30" s="68">
        <f t="shared" si="13"/>
        <v>333</v>
      </c>
      <c r="AJ30" s="71">
        <f t="shared" ref="AJ30:AK30" si="112">AG30/1.05506</f>
        <v>315.6218604</v>
      </c>
      <c r="AK30" s="71">
        <f t="shared" si="112"/>
        <v>0</v>
      </c>
      <c r="AL30" s="68">
        <f t="shared" si="15"/>
        <v>315.6218604</v>
      </c>
    </row>
    <row r="31" ht="14.25" customHeight="1">
      <c r="B31" s="69">
        <v>45585.0</v>
      </c>
      <c r="C31" s="70"/>
      <c r="D31" s="70"/>
      <c r="E31" s="68">
        <f t="shared" si="1"/>
        <v>0</v>
      </c>
      <c r="F31" s="71">
        <v>112.0</v>
      </c>
      <c r="G31" s="72">
        <v>0.0</v>
      </c>
      <c r="H31" s="68">
        <f t="shared" si="16"/>
        <v>112</v>
      </c>
      <c r="I31" s="73">
        <f t="shared" ref="I31:J31" si="113">F31*55000*0.35/1000/0.55</f>
        <v>3920</v>
      </c>
      <c r="J31" s="73">
        <f t="shared" si="113"/>
        <v>0</v>
      </c>
      <c r="K31" s="68">
        <f t="shared" si="18"/>
        <v>3920</v>
      </c>
      <c r="L31" s="71">
        <v>27595.0</v>
      </c>
      <c r="M31" s="71">
        <v>0.0</v>
      </c>
      <c r="N31" s="68">
        <f t="shared" si="3"/>
        <v>27595</v>
      </c>
      <c r="O31" s="71">
        <v>3526.2589928057555</v>
      </c>
      <c r="P31" s="71">
        <v>0.0</v>
      </c>
      <c r="Q31" s="68">
        <f t="shared" si="4"/>
        <v>3526.258993</v>
      </c>
      <c r="R31" s="71">
        <f t="shared" ref="R31:S31" si="114">L31-O31</f>
        <v>24068.74101</v>
      </c>
      <c r="S31" s="71">
        <f t="shared" si="114"/>
        <v>0</v>
      </c>
      <c r="T31" s="68">
        <f t="shared" si="5"/>
        <v>24068.74101</v>
      </c>
      <c r="U31" s="71">
        <f t="shared" ref="U31:V31" si="115">R31*0.55</f>
        <v>13237.80755</v>
      </c>
      <c r="V31" s="71">
        <f t="shared" si="115"/>
        <v>0</v>
      </c>
      <c r="W31" s="68">
        <f t="shared" si="7"/>
        <v>13237.80755</v>
      </c>
      <c r="X31" s="71">
        <f t="shared" ref="X31:Y31" si="116">U31/0.95</f>
        <v>13934.53427</v>
      </c>
      <c r="Y31" s="71">
        <f t="shared" si="116"/>
        <v>0</v>
      </c>
      <c r="Z31" s="68">
        <f t="shared" si="9"/>
        <v>13934.53427</v>
      </c>
      <c r="AA31" s="71">
        <v>9712.2522</v>
      </c>
      <c r="AB31" s="71">
        <v>0.0</v>
      </c>
      <c r="AC31" s="68">
        <f t="shared" si="10"/>
        <v>9712.2522</v>
      </c>
      <c r="AD31" s="71">
        <f t="shared" ref="AD31:AE31" si="117">AA31*0.95</f>
        <v>9226.63959</v>
      </c>
      <c r="AE31" s="71">
        <f t="shared" si="117"/>
        <v>0</v>
      </c>
      <c r="AF31" s="68">
        <f t="shared" si="12"/>
        <v>9226.63959</v>
      </c>
      <c r="AG31" s="71">
        <v>350.0</v>
      </c>
      <c r="AH31" s="71">
        <v>0.0</v>
      </c>
      <c r="AI31" s="68">
        <f t="shared" si="13"/>
        <v>350</v>
      </c>
      <c r="AJ31" s="71">
        <f t="shared" ref="AJ31:AK31" si="118">AG31/1.05506</f>
        <v>331.7346881</v>
      </c>
      <c r="AK31" s="71">
        <f t="shared" si="118"/>
        <v>0</v>
      </c>
      <c r="AL31" s="68">
        <f t="shared" si="15"/>
        <v>331.7346881</v>
      </c>
    </row>
    <row r="32" ht="14.25" customHeight="1">
      <c r="B32" s="69">
        <v>45586.0</v>
      </c>
      <c r="C32" s="70"/>
      <c r="D32" s="70"/>
      <c r="E32" s="68">
        <f t="shared" si="1"/>
        <v>0</v>
      </c>
      <c r="F32" s="71">
        <v>1064.0</v>
      </c>
      <c r="G32" s="72">
        <v>0.0</v>
      </c>
      <c r="H32" s="68">
        <f t="shared" si="16"/>
        <v>1064</v>
      </c>
      <c r="I32" s="73">
        <f t="shared" ref="I32:J32" si="119">F32*55000*0.35/1000/0.55</f>
        <v>37240</v>
      </c>
      <c r="J32" s="73">
        <f t="shared" si="119"/>
        <v>0</v>
      </c>
      <c r="K32" s="68">
        <f t="shared" si="18"/>
        <v>37240</v>
      </c>
      <c r="L32" s="71">
        <v>27010.0</v>
      </c>
      <c r="M32" s="71">
        <v>0.0</v>
      </c>
      <c r="N32" s="68">
        <f t="shared" si="3"/>
        <v>27010</v>
      </c>
      <c r="O32" s="71">
        <v>3883.0935251798564</v>
      </c>
      <c r="P32" s="71">
        <v>0.0</v>
      </c>
      <c r="Q32" s="68">
        <f t="shared" si="4"/>
        <v>3883.093525</v>
      </c>
      <c r="R32" s="71">
        <f t="shared" ref="R32:S32" si="120">L32-O32</f>
        <v>23126.90647</v>
      </c>
      <c r="S32" s="71">
        <f t="shared" si="120"/>
        <v>0</v>
      </c>
      <c r="T32" s="68">
        <f t="shared" si="5"/>
        <v>23126.90647</v>
      </c>
      <c r="U32" s="71">
        <f t="shared" ref="U32:V32" si="121">R32*0.55</f>
        <v>12719.79856</v>
      </c>
      <c r="V32" s="71">
        <f t="shared" si="121"/>
        <v>0</v>
      </c>
      <c r="W32" s="68">
        <f t="shared" si="7"/>
        <v>12719.79856</v>
      </c>
      <c r="X32" s="71">
        <f t="shared" ref="X32:Y32" si="122">U32/0.95</f>
        <v>13389.26164</v>
      </c>
      <c r="Y32" s="71">
        <f t="shared" si="122"/>
        <v>0</v>
      </c>
      <c r="Z32" s="68">
        <f t="shared" si="9"/>
        <v>13389.26164</v>
      </c>
      <c r="AA32" s="71">
        <v>8958.2236</v>
      </c>
      <c r="AB32" s="71">
        <v>0.0</v>
      </c>
      <c r="AC32" s="68">
        <f t="shared" si="10"/>
        <v>8958.2236</v>
      </c>
      <c r="AD32" s="71">
        <f t="shared" ref="AD32:AE32" si="123">AA32*0.95</f>
        <v>8510.31242</v>
      </c>
      <c r="AE32" s="71">
        <f t="shared" si="123"/>
        <v>0</v>
      </c>
      <c r="AF32" s="68">
        <f t="shared" si="12"/>
        <v>8510.31242</v>
      </c>
      <c r="AG32" s="71">
        <v>317.0</v>
      </c>
      <c r="AH32" s="71">
        <v>0.0</v>
      </c>
      <c r="AI32" s="68">
        <f t="shared" si="13"/>
        <v>317</v>
      </c>
      <c r="AJ32" s="71">
        <f t="shared" ref="AJ32:AK32" si="124">AG32/1.05506</f>
        <v>300.4568461</v>
      </c>
      <c r="AK32" s="71">
        <f t="shared" si="124"/>
        <v>0</v>
      </c>
      <c r="AL32" s="68">
        <f t="shared" si="15"/>
        <v>300.4568461</v>
      </c>
    </row>
    <row r="33" ht="14.25" customHeight="1">
      <c r="B33" s="69">
        <v>45587.0</v>
      </c>
      <c r="C33" s="70"/>
      <c r="D33" s="70"/>
      <c r="E33" s="68">
        <f t="shared" si="1"/>
        <v>0</v>
      </c>
      <c r="F33" s="71">
        <v>1629.0</v>
      </c>
      <c r="G33" s="72">
        <v>0.0</v>
      </c>
      <c r="H33" s="68">
        <f t="shared" si="16"/>
        <v>1629</v>
      </c>
      <c r="I33" s="73">
        <f t="shared" ref="I33:J33" si="125">F33*55000*0.35/1000/0.55</f>
        <v>57015</v>
      </c>
      <c r="J33" s="73">
        <f t="shared" si="125"/>
        <v>0</v>
      </c>
      <c r="K33" s="68">
        <f t="shared" si="18"/>
        <v>57015</v>
      </c>
      <c r="L33" s="71">
        <v>28815.0</v>
      </c>
      <c r="M33" s="71">
        <v>0.0</v>
      </c>
      <c r="N33" s="68">
        <f t="shared" si="3"/>
        <v>28815</v>
      </c>
      <c r="O33" s="71">
        <v>3934.8920863309354</v>
      </c>
      <c r="P33" s="71">
        <v>0.0</v>
      </c>
      <c r="Q33" s="68">
        <f t="shared" si="4"/>
        <v>3934.892086</v>
      </c>
      <c r="R33" s="71">
        <f t="shared" ref="R33:S33" si="126">L33-O33</f>
        <v>24880.10791</v>
      </c>
      <c r="S33" s="71">
        <f t="shared" si="126"/>
        <v>0</v>
      </c>
      <c r="T33" s="68">
        <f t="shared" si="5"/>
        <v>24880.10791</v>
      </c>
      <c r="U33" s="71">
        <f t="shared" ref="U33:V33" si="127">R33*0.55</f>
        <v>13684.05935</v>
      </c>
      <c r="V33" s="71">
        <f t="shared" si="127"/>
        <v>0</v>
      </c>
      <c r="W33" s="68">
        <f t="shared" si="7"/>
        <v>13684.05935</v>
      </c>
      <c r="X33" s="71">
        <f t="shared" ref="X33:Y33" si="128">U33/0.95</f>
        <v>14404.273</v>
      </c>
      <c r="Y33" s="71">
        <f t="shared" si="128"/>
        <v>0</v>
      </c>
      <c r="Z33" s="68">
        <f t="shared" si="9"/>
        <v>14404.273</v>
      </c>
      <c r="AA33" s="71">
        <v>7708.1951</v>
      </c>
      <c r="AB33" s="71">
        <v>0.0</v>
      </c>
      <c r="AC33" s="68">
        <f t="shared" si="10"/>
        <v>7708.1951</v>
      </c>
      <c r="AD33" s="71">
        <f t="shared" ref="AD33:AE33" si="129">AA33*0.95</f>
        <v>7322.785345</v>
      </c>
      <c r="AE33" s="71">
        <f t="shared" si="129"/>
        <v>0</v>
      </c>
      <c r="AF33" s="68">
        <f t="shared" si="12"/>
        <v>7322.785345</v>
      </c>
      <c r="AG33" s="71">
        <v>277.0</v>
      </c>
      <c r="AH33" s="71">
        <v>0.0</v>
      </c>
      <c r="AI33" s="68">
        <f t="shared" si="13"/>
        <v>277</v>
      </c>
      <c r="AJ33" s="71">
        <f t="shared" ref="AJ33:AK33" si="130">AG33/1.05506</f>
        <v>262.5443103</v>
      </c>
      <c r="AK33" s="71">
        <f t="shared" si="130"/>
        <v>0</v>
      </c>
      <c r="AL33" s="68">
        <f t="shared" si="15"/>
        <v>262.5443103</v>
      </c>
    </row>
    <row r="34" ht="14.25" customHeight="1">
      <c r="B34" s="69">
        <v>45588.0</v>
      </c>
      <c r="C34" s="70"/>
      <c r="D34" s="70"/>
      <c r="E34" s="68">
        <f t="shared" si="1"/>
        <v>0</v>
      </c>
      <c r="F34" s="71">
        <v>1145.0</v>
      </c>
      <c r="G34" s="72">
        <v>0.0</v>
      </c>
      <c r="H34" s="68">
        <f t="shared" si="16"/>
        <v>1145</v>
      </c>
      <c r="I34" s="73">
        <f t="shared" ref="I34:J34" si="131">F34*55000*0.35/1000/0.55</f>
        <v>40075</v>
      </c>
      <c r="J34" s="73">
        <f t="shared" si="131"/>
        <v>0</v>
      </c>
      <c r="K34" s="68">
        <f t="shared" si="18"/>
        <v>40075</v>
      </c>
      <c r="L34" s="71">
        <v>29714.0</v>
      </c>
      <c r="M34" s="71">
        <v>0.0</v>
      </c>
      <c r="N34" s="68">
        <f t="shared" si="3"/>
        <v>29714</v>
      </c>
      <c r="O34" s="71">
        <v>3900.0000000000005</v>
      </c>
      <c r="P34" s="71">
        <v>0.0</v>
      </c>
      <c r="Q34" s="68">
        <f t="shared" si="4"/>
        <v>3900</v>
      </c>
      <c r="R34" s="71">
        <f t="shared" ref="R34:S34" si="132">L34-O34</f>
        <v>25814</v>
      </c>
      <c r="S34" s="71">
        <f t="shared" si="132"/>
        <v>0</v>
      </c>
      <c r="T34" s="68">
        <f t="shared" si="5"/>
        <v>25814</v>
      </c>
      <c r="U34" s="71">
        <f t="shared" ref="U34:V34" si="133">R34*0.55</f>
        <v>14197.7</v>
      </c>
      <c r="V34" s="71">
        <f t="shared" si="133"/>
        <v>0</v>
      </c>
      <c r="W34" s="68">
        <f t="shared" si="7"/>
        <v>14197.7</v>
      </c>
      <c r="X34" s="71">
        <f t="shared" ref="X34:Y34" si="134">U34/0.95</f>
        <v>14944.94737</v>
      </c>
      <c r="Y34" s="71">
        <f t="shared" si="134"/>
        <v>0</v>
      </c>
      <c r="Z34" s="68">
        <f t="shared" si="9"/>
        <v>14944.94737</v>
      </c>
      <c r="AA34" s="71">
        <v>7671.35</v>
      </c>
      <c r="AB34" s="71">
        <v>0.0</v>
      </c>
      <c r="AC34" s="68">
        <f t="shared" si="10"/>
        <v>7671.35</v>
      </c>
      <c r="AD34" s="71">
        <f t="shared" ref="AD34:AE34" si="135">AA34*0.95</f>
        <v>7287.7825</v>
      </c>
      <c r="AE34" s="71">
        <f t="shared" si="135"/>
        <v>0</v>
      </c>
      <c r="AF34" s="68">
        <f t="shared" si="12"/>
        <v>7287.7825</v>
      </c>
      <c r="AG34" s="71">
        <v>275.0</v>
      </c>
      <c r="AH34" s="71">
        <v>0.0</v>
      </c>
      <c r="AI34" s="68">
        <f t="shared" si="13"/>
        <v>275</v>
      </c>
      <c r="AJ34" s="71">
        <f t="shared" ref="AJ34:AK34" si="136">AG34/1.05506</f>
        <v>260.6486835</v>
      </c>
      <c r="AK34" s="71">
        <f t="shared" si="136"/>
        <v>0</v>
      </c>
      <c r="AL34" s="68">
        <f t="shared" si="15"/>
        <v>260.6486835</v>
      </c>
    </row>
    <row r="35" ht="14.25" customHeight="1">
      <c r="B35" s="69">
        <v>45589.0</v>
      </c>
      <c r="C35" s="70"/>
      <c r="D35" s="70"/>
      <c r="E35" s="68">
        <f t="shared" si="1"/>
        <v>0</v>
      </c>
      <c r="F35" s="71">
        <v>921.0</v>
      </c>
      <c r="G35" s="72">
        <v>0.0</v>
      </c>
      <c r="H35" s="68">
        <f t="shared" si="16"/>
        <v>921</v>
      </c>
      <c r="I35" s="73">
        <f t="shared" ref="I35:J35" si="137">F35*55000*0.35/1000/0.55</f>
        <v>32235</v>
      </c>
      <c r="J35" s="73">
        <f t="shared" si="137"/>
        <v>0</v>
      </c>
      <c r="K35" s="68">
        <f t="shared" si="18"/>
        <v>32235</v>
      </c>
      <c r="L35" s="71">
        <v>30736.0</v>
      </c>
      <c r="M35" s="71">
        <v>0.0</v>
      </c>
      <c r="N35" s="68">
        <f t="shared" si="3"/>
        <v>30736</v>
      </c>
      <c r="O35" s="71">
        <v>4133.812949640288</v>
      </c>
      <c r="P35" s="71">
        <v>0.0</v>
      </c>
      <c r="Q35" s="68">
        <f t="shared" si="4"/>
        <v>4133.81295</v>
      </c>
      <c r="R35" s="71">
        <f t="shared" ref="R35:S35" si="138">L35-O35</f>
        <v>26602.18705</v>
      </c>
      <c r="S35" s="71">
        <f t="shared" si="138"/>
        <v>0</v>
      </c>
      <c r="T35" s="68">
        <f t="shared" si="5"/>
        <v>26602.18705</v>
      </c>
      <c r="U35" s="71">
        <f t="shared" ref="U35:V35" si="139">R35*0.55</f>
        <v>14631.20288</v>
      </c>
      <c r="V35" s="71">
        <f t="shared" si="139"/>
        <v>0</v>
      </c>
      <c r="W35" s="68">
        <f t="shared" si="7"/>
        <v>14631.20288</v>
      </c>
      <c r="X35" s="71">
        <f t="shared" ref="X35:Y35" si="140">U35/0.95</f>
        <v>15401.26619</v>
      </c>
      <c r="Y35" s="71">
        <f t="shared" si="140"/>
        <v>0</v>
      </c>
      <c r="Z35" s="68">
        <f t="shared" si="9"/>
        <v>15401.26619</v>
      </c>
      <c r="AA35" s="71">
        <v>8383.8147</v>
      </c>
      <c r="AB35" s="71">
        <v>0.0</v>
      </c>
      <c r="AC35" s="68">
        <f t="shared" si="10"/>
        <v>8383.8147</v>
      </c>
      <c r="AD35" s="71">
        <f t="shared" ref="AD35:AE35" si="141">AA35*0.95</f>
        <v>7964.623965</v>
      </c>
      <c r="AE35" s="71">
        <f t="shared" si="141"/>
        <v>0</v>
      </c>
      <c r="AF35" s="68">
        <f t="shared" si="12"/>
        <v>7964.623965</v>
      </c>
      <c r="AG35" s="71">
        <v>300.0</v>
      </c>
      <c r="AH35" s="71">
        <v>0.0</v>
      </c>
      <c r="AI35" s="68">
        <f t="shared" si="13"/>
        <v>300</v>
      </c>
      <c r="AJ35" s="71">
        <f t="shared" ref="AJ35:AK35" si="142">AG35/1.05506</f>
        <v>284.3440183</v>
      </c>
      <c r="AK35" s="71">
        <f t="shared" si="142"/>
        <v>0</v>
      </c>
      <c r="AL35" s="68">
        <f t="shared" si="15"/>
        <v>284.3440183</v>
      </c>
    </row>
    <row r="36" ht="14.25" customHeight="1">
      <c r="B36" s="69">
        <v>45590.0</v>
      </c>
      <c r="C36" s="70"/>
      <c r="D36" s="70"/>
      <c r="E36" s="68">
        <f t="shared" si="1"/>
        <v>0</v>
      </c>
      <c r="F36" s="71">
        <v>828.0</v>
      </c>
      <c r="G36" s="72">
        <v>0.0</v>
      </c>
      <c r="H36" s="68">
        <f t="shared" si="16"/>
        <v>828</v>
      </c>
      <c r="I36" s="73">
        <f t="shared" ref="I36:J36" si="143">F36*55000*0.35/1000/0.55</f>
        <v>28980</v>
      </c>
      <c r="J36" s="73">
        <f t="shared" si="143"/>
        <v>0</v>
      </c>
      <c r="K36" s="68">
        <f t="shared" si="18"/>
        <v>28980</v>
      </c>
      <c r="L36" s="71">
        <v>30869.0</v>
      </c>
      <c r="M36" s="71">
        <v>0.0</v>
      </c>
      <c r="N36" s="68">
        <f t="shared" si="3"/>
        <v>30869</v>
      </c>
      <c r="O36" s="71">
        <v>4064.7482014388493</v>
      </c>
      <c r="P36" s="71">
        <v>0.0</v>
      </c>
      <c r="Q36" s="68">
        <f t="shared" si="4"/>
        <v>4064.748201</v>
      </c>
      <c r="R36" s="71">
        <f t="shared" ref="R36:S36" si="144">L36-O36</f>
        <v>26804.2518</v>
      </c>
      <c r="S36" s="71">
        <f t="shared" si="144"/>
        <v>0</v>
      </c>
      <c r="T36" s="68">
        <f t="shared" si="5"/>
        <v>26804.2518</v>
      </c>
      <c r="U36" s="71">
        <f t="shared" ref="U36:V36" si="145">R36*0.55</f>
        <v>14742.33849</v>
      </c>
      <c r="V36" s="71">
        <f t="shared" si="145"/>
        <v>0</v>
      </c>
      <c r="W36" s="68">
        <f t="shared" si="7"/>
        <v>14742.33849</v>
      </c>
      <c r="X36" s="71">
        <f t="shared" ref="X36:Y36" si="146">U36/0.95</f>
        <v>15518.25104</v>
      </c>
      <c r="Y36" s="71">
        <f t="shared" si="146"/>
        <v>0</v>
      </c>
      <c r="Z36" s="68">
        <f t="shared" si="9"/>
        <v>15518.25104</v>
      </c>
      <c r="AA36" s="71">
        <v>8612.9226</v>
      </c>
      <c r="AB36" s="71">
        <v>0.0</v>
      </c>
      <c r="AC36" s="68">
        <f t="shared" si="10"/>
        <v>8612.9226</v>
      </c>
      <c r="AD36" s="71">
        <f t="shared" ref="AD36:AE36" si="147">AA36*0.95</f>
        <v>8182.27647</v>
      </c>
      <c r="AE36" s="71">
        <f t="shared" si="147"/>
        <v>0</v>
      </c>
      <c r="AF36" s="68">
        <f t="shared" si="12"/>
        <v>8182.27647</v>
      </c>
      <c r="AG36" s="71">
        <v>308.0</v>
      </c>
      <c r="AH36" s="71">
        <v>0.0</v>
      </c>
      <c r="AI36" s="68">
        <f t="shared" si="13"/>
        <v>308</v>
      </c>
      <c r="AJ36" s="71">
        <f t="shared" ref="AJ36:AK36" si="148">AG36/1.05506</f>
        <v>291.9265255</v>
      </c>
      <c r="AK36" s="71">
        <f t="shared" si="148"/>
        <v>0</v>
      </c>
      <c r="AL36" s="68">
        <f t="shared" si="15"/>
        <v>291.9265255</v>
      </c>
    </row>
    <row r="37" ht="14.25" customHeight="1">
      <c r="B37" s="69">
        <v>45591.0</v>
      </c>
      <c r="C37" s="70"/>
      <c r="D37" s="70"/>
      <c r="E37" s="68">
        <f t="shared" si="1"/>
        <v>0</v>
      </c>
      <c r="F37" s="71">
        <v>1069.0</v>
      </c>
      <c r="G37" s="72">
        <v>0.0</v>
      </c>
      <c r="H37" s="68">
        <f t="shared" si="16"/>
        <v>1069</v>
      </c>
      <c r="I37" s="73">
        <f t="shared" ref="I37:J37" si="149">F37*55000*0.35/1000/0.55</f>
        <v>37415</v>
      </c>
      <c r="J37" s="73">
        <f t="shared" si="149"/>
        <v>0</v>
      </c>
      <c r="K37" s="68">
        <f t="shared" si="18"/>
        <v>37415</v>
      </c>
      <c r="L37" s="71">
        <v>30915.0</v>
      </c>
      <c r="M37" s="71">
        <v>0.0</v>
      </c>
      <c r="N37" s="68">
        <f t="shared" si="3"/>
        <v>30915</v>
      </c>
      <c r="O37" s="71">
        <v>3749.6402877697847</v>
      </c>
      <c r="P37" s="71">
        <v>0.0</v>
      </c>
      <c r="Q37" s="68">
        <f t="shared" si="4"/>
        <v>3749.640288</v>
      </c>
      <c r="R37" s="71">
        <f t="shared" ref="R37:S37" si="150">L37-O37</f>
        <v>27165.35971</v>
      </c>
      <c r="S37" s="71">
        <f t="shared" si="150"/>
        <v>0</v>
      </c>
      <c r="T37" s="68">
        <f t="shared" si="5"/>
        <v>27165.35971</v>
      </c>
      <c r="U37" s="71">
        <f t="shared" ref="U37:V37" si="151">R37*0.55</f>
        <v>14940.94784</v>
      </c>
      <c r="V37" s="71">
        <f t="shared" si="151"/>
        <v>0</v>
      </c>
      <c r="W37" s="68">
        <f t="shared" si="7"/>
        <v>14940.94784</v>
      </c>
      <c r="X37" s="71">
        <f t="shared" ref="X37:Y37" si="152">U37/0.95</f>
        <v>15727.31352</v>
      </c>
      <c r="Y37" s="71">
        <f t="shared" si="152"/>
        <v>0</v>
      </c>
      <c r="Z37" s="68">
        <f t="shared" si="9"/>
        <v>15727.31352</v>
      </c>
      <c r="AA37" s="71">
        <v>8730.4264</v>
      </c>
      <c r="AB37" s="71">
        <v>0.0</v>
      </c>
      <c r="AC37" s="68">
        <f t="shared" si="10"/>
        <v>8730.4264</v>
      </c>
      <c r="AD37" s="71">
        <f t="shared" ref="AD37:AE37" si="153">AA37*0.95</f>
        <v>8293.90508</v>
      </c>
      <c r="AE37" s="71">
        <f t="shared" si="153"/>
        <v>0</v>
      </c>
      <c r="AF37" s="68">
        <f t="shared" si="12"/>
        <v>8293.90508</v>
      </c>
      <c r="AG37" s="71">
        <v>312.0</v>
      </c>
      <c r="AH37" s="71">
        <v>0.0</v>
      </c>
      <c r="AI37" s="68">
        <f t="shared" si="13"/>
        <v>312</v>
      </c>
      <c r="AJ37" s="71">
        <f t="shared" ref="AJ37:AK37" si="154">AG37/1.05506</f>
        <v>295.7177791</v>
      </c>
      <c r="AK37" s="71">
        <f t="shared" si="154"/>
        <v>0</v>
      </c>
      <c r="AL37" s="68">
        <f t="shared" si="15"/>
        <v>295.7177791</v>
      </c>
    </row>
    <row r="38" ht="14.25" customHeight="1">
      <c r="B38" s="69">
        <v>45592.0</v>
      </c>
      <c r="C38" s="70"/>
      <c r="D38" s="70"/>
      <c r="E38" s="68">
        <f t="shared" si="1"/>
        <v>0</v>
      </c>
      <c r="F38" s="71">
        <v>0.0</v>
      </c>
      <c r="G38" s="72">
        <v>0.0</v>
      </c>
      <c r="H38" s="68">
        <f t="shared" si="16"/>
        <v>0</v>
      </c>
      <c r="I38" s="73">
        <f t="shared" ref="I38:J38" si="155">F38*55000*0.35/1000/0.55</f>
        <v>0</v>
      </c>
      <c r="J38" s="73">
        <f t="shared" si="155"/>
        <v>0</v>
      </c>
      <c r="K38" s="68">
        <f t="shared" si="18"/>
        <v>0</v>
      </c>
      <c r="L38" s="71">
        <v>31266.0</v>
      </c>
      <c r="M38" s="71">
        <v>0.0</v>
      </c>
      <c r="N38" s="68">
        <f t="shared" si="3"/>
        <v>31266</v>
      </c>
      <c r="O38" s="71">
        <v>3427.697841726619</v>
      </c>
      <c r="P38" s="71">
        <v>0.0</v>
      </c>
      <c r="Q38" s="68">
        <f t="shared" si="4"/>
        <v>3427.697842</v>
      </c>
      <c r="R38" s="71">
        <f t="shared" ref="R38:S38" si="156">L38-O38</f>
        <v>27838.30216</v>
      </c>
      <c r="S38" s="71">
        <f t="shared" si="156"/>
        <v>0</v>
      </c>
      <c r="T38" s="68">
        <f t="shared" si="5"/>
        <v>27838.30216</v>
      </c>
      <c r="U38" s="71">
        <f t="shared" ref="U38:V38" si="157">R38*0.55</f>
        <v>15311.06619</v>
      </c>
      <c r="V38" s="71">
        <f t="shared" si="157"/>
        <v>0</v>
      </c>
      <c r="W38" s="68">
        <f t="shared" si="7"/>
        <v>15311.06619</v>
      </c>
      <c r="X38" s="71">
        <f t="shared" ref="X38:Y38" si="158">U38/0.95</f>
        <v>16116.91178</v>
      </c>
      <c r="Y38" s="71">
        <f t="shared" si="158"/>
        <v>0</v>
      </c>
      <c r="Z38" s="68">
        <f t="shared" si="9"/>
        <v>16116.91178</v>
      </c>
      <c r="AA38" s="71">
        <v>8773.3857</v>
      </c>
      <c r="AB38" s="71">
        <v>0.0</v>
      </c>
      <c r="AC38" s="68">
        <f t="shared" si="10"/>
        <v>8773.3857</v>
      </c>
      <c r="AD38" s="71">
        <f t="shared" ref="AD38:AE38" si="159">AA38*0.95</f>
        <v>8334.716415</v>
      </c>
      <c r="AE38" s="71">
        <f t="shared" si="159"/>
        <v>0</v>
      </c>
      <c r="AF38" s="68">
        <f t="shared" si="12"/>
        <v>8334.716415</v>
      </c>
      <c r="AG38" s="71">
        <v>314.0</v>
      </c>
      <c r="AH38" s="71">
        <v>0.0</v>
      </c>
      <c r="AI38" s="68">
        <f t="shared" si="13"/>
        <v>314</v>
      </c>
      <c r="AJ38" s="71">
        <f t="shared" ref="AJ38:AK38" si="160">AG38/1.05506</f>
        <v>297.6134059</v>
      </c>
      <c r="AK38" s="71">
        <f t="shared" si="160"/>
        <v>0</v>
      </c>
      <c r="AL38" s="68">
        <f t="shared" si="15"/>
        <v>297.6134059</v>
      </c>
    </row>
    <row r="39" ht="14.25" customHeight="1">
      <c r="B39" s="69">
        <v>45593.0</v>
      </c>
      <c r="C39" s="70"/>
      <c r="D39" s="70"/>
      <c r="E39" s="68">
        <f t="shared" si="1"/>
        <v>0</v>
      </c>
      <c r="F39" s="71">
        <v>1177.0</v>
      </c>
      <c r="G39" s="72">
        <v>0.0</v>
      </c>
      <c r="H39" s="68">
        <f t="shared" si="16"/>
        <v>1177</v>
      </c>
      <c r="I39" s="73">
        <f t="shared" ref="I39:J39" si="161">F39*55000*0.35/1000/0.55</f>
        <v>41195</v>
      </c>
      <c r="J39" s="73">
        <f t="shared" si="161"/>
        <v>0</v>
      </c>
      <c r="K39" s="68">
        <f t="shared" si="18"/>
        <v>41195</v>
      </c>
      <c r="L39" s="71">
        <v>31581.0</v>
      </c>
      <c r="M39" s="71">
        <v>0.0</v>
      </c>
      <c r="N39" s="68">
        <f t="shared" si="3"/>
        <v>31581</v>
      </c>
      <c r="O39" s="71">
        <v>3679.1366906474823</v>
      </c>
      <c r="P39" s="71">
        <v>0.0</v>
      </c>
      <c r="Q39" s="68">
        <f t="shared" si="4"/>
        <v>3679.136691</v>
      </c>
      <c r="R39" s="71">
        <f t="shared" ref="R39:S39" si="162">L39-O39</f>
        <v>27901.86331</v>
      </c>
      <c r="S39" s="71">
        <f t="shared" si="162"/>
        <v>0</v>
      </c>
      <c r="T39" s="68">
        <f t="shared" si="5"/>
        <v>27901.86331</v>
      </c>
      <c r="U39" s="71">
        <f t="shared" ref="U39:V39" si="163">R39*0.55</f>
        <v>15346.02482</v>
      </c>
      <c r="V39" s="71">
        <f t="shared" si="163"/>
        <v>0</v>
      </c>
      <c r="W39" s="68">
        <f t="shared" si="7"/>
        <v>15346.02482</v>
      </c>
      <c r="X39" s="71">
        <f t="shared" ref="X39:Y39" si="164">U39/0.95</f>
        <v>16153.71034</v>
      </c>
      <c r="Y39" s="71">
        <f t="shared" si="164"/>
        <v>0</v>
      </c>
      <c r="Z39" s="68">
        <f t="shared" si="9"/>
        <v>16153.71034</v>
      </c>
      <c r="AA39" s="71">
        <v>9215.05</v>
      </c>
      <c r="AB39" s="71">
        <v>0.0</v>
      </c>
      <c r="AC39" s="68">
        <f t="shared" si="10"/>
        <v>9215.05</v>
      </c>
      <c r="AD39" s="71">
        <f t="shared" ref="AD39:AE39" si="165">AA39*0.95</f>
        <v>8754.2975</v>
      </c>
      <c r="AE39" s="71">
        <f t="shared" si="165"/>
        <v>0</v>
      </c>
      <c r="AF39" s="68">
        <f t="shared" si="12"/>
        <v>8754.2975</v>
      </c>
      <c r="AG39" s="71">
        <v>329.0</v>
      </c>
      <c r="AH39" s="71">
        <v>0.0</v>
      </c>
      <c r="AI39" s="68">
        <f t="shared" si="13"/>
        <v>329</v>
      </c>
      <c r="AJ39" s="71">
        <f t="shared" ref="AJ39:AK39" si="166">AG39/1.05506</f>
        <v>311.8306068</v>
      </c>
      <c r="AK39" s="71">
        <f t="shared" si="166"/>
        <v>0</v>
      </c>
      <c r="AL39" s="68">
        <f t="shared" si="15"/>
        <v>311.8306068</v>
      </c>
    </row>
    <row r="40" ht="14.25" customHeight="1">
      <c r="B40" s="69">
        <v>45594.0</v>
      </c>
      <c r="C40" s="70"/>
      <c r="D40" s="70"/>
      <c r="E40" s="68">
        <f t="shared" si="1"/>
        <v>0</v>
      </c>
      <c r="F40" s="71">
        <v>828.0</v>
      </c>
      <c r="G40" s="72">
        <v>0.0</v>
      </c>
      <c r="H40" s="68">
        <f t="shared" si="16"/>
        <v>828</v>
      </c>
      <c r="I40" s="73">
        <f t="shared" ref="I40:J40" si="167">F40*55000*0.35/1000/0.55</f>
        <v>28980</v>
      </c>
      <c r="J40" s="73">
        <f t="shared" si="167"/>
        <v>0</v>
      </c>
      <c r="K40" s="68">
        <f t="shared" si="18"/>
        <v>28980</v>
      </c>
      <c r="L40" s="71">
        <v>29342.0</v>
      </c>
      <c r="M40" s="71">
        <v>0.0</v>
      </c>
      <c r="N40" s="68">
        <f t="shared" si="3"/>
        <v>29342</v>
      </c>
      <c r="O40" s="71">
        <v>3757.1942446043167</v>
      </c>
      <c r="P40" s="71">
        <v>0.0</v>
      </c>
      <c r="Q40" s="68">
        <f t="shared" si="4"/>
        <v>3757.194245</v>
      </c>
      <c r="R40" s="71">
        <f t="shared" ref="R40:S40" si="168">L40-O40</f>
        <v>25584.80576</v>
      </c>
      <c r="S40" s="71">
        <f t="shared" si="168"/>
        <v>0</v>
      </c>
      <c r="T40" s="68">
        <f t="shared" si="5"/>
        <v>25584.80576</v>
      </c>
      <c r="U40" s="71">
        <f t="shared" ref="U40:V40" si="169">R40*0.55</f>
        <v>14071.64317</v>
      </c>
      <c r="V40" s="71">
        <f t="shared" si="169"/>
        <v>0</v>
      </c>
      <c r="W40" s="68">
        <f t="shared" si="7"/>
        <v>14071.64317</v>
      </c>
      <c r="X40" s="71">
        <f t="shared" ref="X40:Y40" si="170">U40/0.95</f>
        <v>14812.25596</v>
      </c>
      <c r="Y40" s="71">
        <f t="shared" si="170"/>
        <v>0</v>
      </c>
      <c r="Z40" s="68">
        <f t="shared" si="9"/>
        <v>14812.25596</v>
      </c>
      <c r="AA40" s="71">
        <v>8053.7006</v>
      </c>
      <c r="AB40" s="71">
        <v>0.0</v>
      </c>
      <c r="AC40" s="68">
        <f t="shared" si="10"/>
        <v>8053.7006</v>
      </c>
      <c r="AD40" s="71">
        <f t="shared" ref="AD40:AE40" si="171">AA40*0.95</f>
        <v>7651.01557</v>
      </c>
      <c r="AE40" s="71">
        <f t="shared" si="171"/>
        <v>0</v>
      </c>
      <c r="AF40" s="68">
        <f t="shared" si="12"/>
        <v>7651.01557</v>
      </c>
      <c r="AG40" s="71">
        <v>288.0</v>
      </c>
      <c r="AH40" s="71">
        <v>0.0</v>
      </c>
      <c r="AI40" s="68">
        <f t="shared" si="13"/>
        <v>288</v>
      </c>
      <c r="AJ40" s="71">
        <f t="shared" ref="AJ40:AK40" si="172">AG40/1.05506</f>
        <v>272.9702576</v>
      </c>
      <c r="AK40" s="71">
        <f t="shared" si="172"/>
        <v>0</v>
      </c>
      <c r="AL40" s="68">
        <f t="shared" si="15"/>
        <v>272.9702576</v>
      </c>
    </row>
    <row r="41" ht="14.25" customHeight="1">
      <c r="B41" s="69">
        <v>45595.0</v>
      </c>
      <c r="C41" s="70"/>
      <c r="D41" s="70"/>
      <c r="E41" s="68">
        <f t="shared" si="1"/>
        <v>0</v>
      </c>
      <c r="F41" s="71">
        <v>845.0</v>
      </c>
      <c r="G41" s="72">
        <v>0.0</v>
      </c>
      <c r="H41" s="68">
        <f t="shared" si="16"/>
        <v>845</v>
      </c>
      <c r="I41" s="73">
        <f t="shared" ref="I41:J41" si="173">F40*55000*0.35/1000/0.55</f>
        <v>28980</v>
      </c>
      <c r="J41" s="73">
        <f t="shared" si="173"/>
        <v>0</v>
      </c>
      <c r="K41" s="68">
        <f t="shared" si="18"/>
        <v>28980</v>
      </c>
      <c r="L41" s="71">
        <v>27478.0</v>
      </c>
      <c r="M41" s="71">
        <v>0.0</v>
      </c>
      <c r="N41" s="68">
        <f t="shared" si="3"/>
        <v>27478</v>
      </c>
      <c r="O41" s="71">
        <v>3334.5323741007196</v>
      </c>
      <c r="P41" s="71">
        <v>0.0</v>
      </c>
      <c r="Q41" s="68">
        <f t="shared" si="4"/>
        <v>3334.532374</v>
      </c>
      <c r="R41" s="71">
        <f t="shared" ref="R41:S41" si="174">L40-O41</f>
        <v>26007.46763</v>
      </c>
      <c r="S41" s="71">
        <f t="shared" si="174"/>
        <v>0</v>
      </c>
      <c r="T41" s="68">
        <f t="shared" si="5"/>
        <v>26007.46763</v>
      </c>
      <c r="U41" s="71">
        <f t="shared" ref="U41:V41" si="175">R41*0.55</f>
        <v>14304.10719</v>
      </c>
      <c r="V41" s="71">
        <f t="shared" si="175"/>
        <v>0</v>
      </c>
      <c r="W41" s="68">
        <f t="shared" si="7"/>
        <v>14304.10719</v>
      </c>
      <c r="X41" s="71">
        <f t="shared" ref="X41:Y41" si="176">U41/0.95</f>
        <v>15056.95494</v>
      </c>
      <c r="Y41" s="71">
        <f t="shared" si="176"/>
        <v>0</v>
      </c>
      <c r="Z41" s="68">
        <f t="shared" si="9"/>
        <v>15056.95494</v>
      </c>
      <c r="AA41" s="71">
        <v>8636.9248</v>
      </c>
      <c r="AB41" s="71">
        <v>0.0</v>
      </c>
      <c r="AC41" s="68">
        <f t="shared" si="10"/>
        <v>8636.9248</v>
      </c>
      <c r="AD41" s="71">
        <f t="shared" ref="AD41:AE41" si="177">AA41*0.95</f>
        <v>8205.07856</v>
      </c>
      <c r="AE41" s="71">
        <f t="shared" si="177"/>
        <v>0</v>
      </c>
      <c r="AF41" s="68">
        <f t="shared" si="12"/>
        <v>8205.07856</v>
      </c>
      <c r="AG41" s="71">
        <v>309.0</v>
      </c>
      <c r="AH41" s="71">
        <v>0.0</v>
      </c>
      <c r="AI41" s="68">
        <f t="shared" si="13"/>
        <v>309</v>
      </c>
      <c r="AJ41" s="71">
        <f t="shared" ref="AJ41:AK41" si="178">AG41/1.05506</f>
        <v>292.8743389</v>
      </c>
      <c r="AK41" s="71">
        <f t="shared" si="178"/>
        <v>0</v>
      </c>
      <c r="AL41" s="68">
        <f t="shared" si="15"/>
        <v>292.8743389</v>
      </c>
    </row>
    <row r="42" ht="14.25" customHeight="1">
      <c r="B42" s="69">
        <v>45596.0</v>
      </c>
      <c r="C42" s="70"/>
      <c r="D42" s="70"/>
      <c r="E42" s="68">
        <f t="shared" si="1"/>
        <v>0</v>
      </c>
      <c r="F42" s="71">
        <v>0.0</v>
      </c>
      <c r="G42" s="72">
        <v>0.0</v>
      </c>
      <c r="H42" s="68">
        <f t="shared" si="16"/>
        <v>0</v>
      </c>
      <c r="I42" s="73">
        <f t="shared" ref="I42:J42" si="179">F41*55000*0.35/1000/0.55</f>
        <v>29575</v>
      </c>
      <c r="J42" s="73">
        <f t="shared" si="179"/>
        <v>0</v>
      </c>
      <c r="K42" s="68">
        <f t="shared" si="18"/>
        <v>29575</v>
      </c>
      <c r="L42" s="71">
        <v>27534.0</v>
      </c>
      <c r="M42" s="71">
        <v>0.0</v>
      </c>
      <c r="N42" s="68">
        <f t="shared" si="3"/>
        <v>27534</v>
      </c>
      <c r="O42" s="71">
        <v>3050.719424460432</v>
      </c>
      <c r="P42" s="71">
        <v>0.0</v>
      </c>
      <c r="Q42" s="68">
        <f t="shared" si="4"/>
        <v>3050.719424</v>
      </c>
      <c r="R42" s="71">
        <f t="shared" ref="R42:S42" si="180">L41-O42</f>
        <v>24427.28058</v>
      </c>
      <c r="S42" s="71">
        <f t="shared" si="180"/>
        <v>0</v>
      </c>
      <c r="T42" s="68">
        <f t="shared" si="5"/>
        <v>24427.28058</v>
      </c>
      <c r="U42" s="71">
        <f t="shared" ref="U42:V42" si="181">R42*0.55</f>
        <v>13435.00432</v>
      </c>
      <c r="V42" s="71">
        <f t="shared" si="181"/>
        <v>0</v>
      </c>
      <c r="W42" s="68">
        <f t="shared" si="7"/>
        <v>13435.00432</v>
      </c>
      <c r="X42" s="71">
        <f t="shared" ref="X42:Y42" si="182">U42/0.95</f>
        <v>14142.10981</v>
      </c>
      <c r="Y42" s="71">
        <f t="shared" si="182"/>
        <v>0</v>
      </c>
      <c r="Z42" s="68">
        <f t="shared" si="9"/>
        <v>14142.10981</v>
      </c>
      <c r="AA42" s="71">
        <v>8693.0487</v>
      </c>
      <c r="AB42" s="71">
        <v>0.0</v>
      </c>
      <c r="AC42" s="68">
        <f t="shared" si="10"/>
        <v>8693.0487</v>
      </c>
      <c r="AD42" s="71">
        <f t="shared" ref="AD42:AE42" si="183">AA42*0.95</f>
        <v>8258.396265</v>
      </c>
      <c r="AE42" s="71">
        <f t="shared" si="183"/>
        <v>0</v>
      </c>
      <c r="AF42" s="68">
        <f t="shared" si="12"/>
        <v>8258.396265</v>
      </c>
      <c r="AG42" s="71">
        <v>310.0</v>
      </c>
      <c r="AH42" s="71">
        <v>0.0</v>
      </c>
      <c r="AI42" s="68">
        <f t="shared" si="13"/>
        <v>310</v>
      </c>
      <c r="AJ42" s="71">
        <f t="shared" ref="AJ42:AK42" si="184">AG42/1.05506</f>
        <v>293.8221523</v>
      </c>
      <c r="AK42" s="71">
        <f t="shared" si="184"/>
        <v>0</v>
      </c>
      <c r="AL42" s="68">
        <f t="shared" si="15"/>
        <v>293.8221523</v>
      </c>
    </row>
    <row r="43" ht="15.0" customHeight="1">
      <c r="B43" s="76" t="s">
        <v>49</v>
      </c>
      <c r="C43" s="77"/>
      <c r="D43" s="77"/>
      <c r="E43" s="77"/>
      <c r="F43" s="77">
        <f t="shared" ref="F43:AI43" si="185">SUM(F12:F42)</f>
        <v>31266</v>
      </c>
      <c r="G43" s="77">
        <f t="shared" si="185"/>
        <v>0</v>
      </c>
      <c r="H43" s="77">
        <f t="shared" si="185"/>
        <v>31266</v>
      </c>
      <c r="I43" s="77">
        <f t="shared" si="185"/>
        <v>1123290</v>
      </c>
      <c r="J43" s="77">
        <f t="shared" si="185"/>
        <v>0</v>
      </c>
      <c r="K43" s="77">
        <f t="shared" si="185"/>
        <v>1123290</v>
      </c>
      <c r="L43" s="77">
        <f t="shared" si="185"/>
        <v>594292</v>
      </c>
      <c r="M43" s="77">
        <f t="shared" si="185"/>
        <v>0</v>
      </c>
      <c r="N43" s="77">
        <f t="shared" si="185"/>
        <v>594292</v>
      </c>
      <c r="O43" s="77">
        <f t="shared" si="185"/>
        <v>54986.33094</v>
      </c>
      <c r="P43" s="77">
        <f t="shared" si="185"/>
        <v>0</v>
      </c>
      <c r="Q43" s="77">
        <f t="shared" si="185"/>
        <v>54986.33094</v>
      </c>
      <c r="R43" s="77">
        <f t="shared" si="185"/>
        <v>404236.6691</v>
      </c>
      <c r="S43" s="77">
        <f t="shared" si="185"/>
        <v>0</v>
      </c>
      <c r="T43" s="77">
        <f t="shared" si="185"/>
        <v>404236.6691</v>
      </c>
      <c r="U43" s="77">
        <f t="shared" si="185"/>
        <v>222330.168</v>
      </c>
      <c r="V43" s="77">
        <f t="shared" si="185"/>
        <v>0</v>
      </c>
      <c r="W43" s="77">
        <f t="shared" si="185"/>
        <v>222330.168</v>
      </c>
      <c r="X43" s="77">
        <f t="shared" si="185"/>
        <v>234031.7558</v>
      </c>
      <c r="Y43" s="77">
        <f t="shared" si="185"/>
        <v>0</v>
      </c>
      <c r="Z43" s="77">
        <f t="shared" si="185"/>
        <v>234031.7558</v>
      </c>
      <c r="AA43" s="77">
        <f t="shared" si="185"/>
        <v>118691.4711</v>
      </c>
      <c r="AB43" s="77">
        <f t="shared" si="185"/>
        <v>0</v>
      </c>
      <c r="AC43" s="77">
        <f t="shared" si="185"/>
        <v>118691.4711</v>
      </c>
      <c r="AD43" s="77">
        <f t="shared" si="185"/>
        <v>112756.8975</v>
      </c>
      <c r="AE43" s="77">
        <f t="shared" si="185"/>
        <v>0</v>
      </c>
      <c r="AF43" s="77">
        <f t="shared" si="185"/>
        <v>112756.8975</v>
      </c>
      <c r="AG43" s="77">
        <f t="shared" si="185"/>
        <v>4243</v>
      </c>
      <c r="AH43" s="77">
        <f t="shared" si="185"/>
        <v>0</v>
      </c>
      <c r="AI43" s="77">
        <f t="shared" si="185"/>
        <v>4243</v>
      </c>
      <c r="AJ43" s="78">
        <v>4022.0</v>
      </c>
      <c r="AK43" s="77">
        <f t="shared" ref="AK43:AL43" si="186">SUM(AK12:AK42)</f>
        <v>0</v>
      </c>
      <c r="AL43" s="77">
        <f t="shared" si="186"/>
        <v>4021.572233</v>
      </c>
      <c r="AN43" s="75">
        <f>AF43/Z43*100</f>
        <v>48.1801699</v>
      </c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80"/>
      <c r="V45" s="80"/>
      <c r="W45" s="80"/>
      <c r="X45" s="80"/>
      <c r="Y45" s="80"/>
      <c r="Z45" s="80"/>
      <c r="AA45" s="56"/>
      <c r="AB45" s="56"/>
      <c r="AC45" s="56"/>
      <c r="AD45" s="56">
        <f>Z43-AF43</f>
        <v>121274.8582</v>
      </c>
      <c r="AE45" s="56"/>
      <c r="AF45" s="56"/>
      <c r="AG45" s="56"/>
      <c r="AH45" s="56"/>
      <c r="AI45" s="56"/>
      <c r="AJ45" s="56"/>
      <c r="AK45" s="56"/>
      <c r="AL45" s="56"/>
    </row>
    <row r="46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56"/>
      <c r="U59" s="56"/>
      <c r="V59" s="56"/>
      <c r="W59" s="56"/>
      <c r="X59" s="56"/>
      <c r="Y59" s="56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4.25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1"/>
      <c r="U60" s="81"/>
      <c r="V60" s="81"/>
      <c r="W60" s="81"/>
      <c r="X60" s="81"/>
      <c r="Y60" s="81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2"/>
      <c r="V67" s="82"/>
      <c r="W67" s="82"/>
      <c r="X67" s="82"/>
      <c r="Y67" s="82"/>
      <c r="Z67" s="82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56"/>
      <c r="V70" s="56"/>
      <c r="W70" s="56"/>
      <c r="X70" s="56"/>
      <c r="Y70" s="56"/>
      <c r="Z70" s="56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</row>
    <row r="1028" ht="14.25" customHeight="1"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</row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A1" s="55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45596.0</v>
      </c>
      <c r="C11" s="67">
        <v>0.0</v>
      </c>
      <c r="D11" s="67">
        <v>45868.0</v>
      </c>
      <c r="E11" s="68">
        <f t="shared" ref="E11:E41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1" si="3">SUM(L11+M11)</f>
        <v>0</v>
      </c>
      <c r="O11" s="68"/>
      <c r="P11" s="68"/>
      <c r="Q11" s="68">
        <f t="shared" ref="Q11:Q41" si="4">SUM(O11+P11)</f>
        <v>0</v>
      </c>
      <c r="R11" s="68"/>
      <c r="S11" s="68"/>
      <c r="T11" s="68">
        <f t="shared" ref="T11:T41" si="6">SUM(R11+S11)</f>
        <v>0</v>
      </c>
      <c r="U11" s="68"/>
      <c r="V11" s="68"/>
      <c r="W11" s="68">
        <f t="shared" ref="W11:W41" si="8">SUM(U11+V11)</f>
        <v>0</v>
      </c>
      <c r="X11" s="68"/>
      <c r="Y11" s="68"/>
      <c r="Z11" s="68">
        <f t="shared" ref="Z11:Z41" si="10">SUM(X11+Y11)</f>
        <v>0</v>
      </c>
      <c r="AA11" s="68"/>
      <c r="AB11" s="68"/>
      <c r="AC11" s="68">
        <f t="shared" ref="AC11:AC41" si="11">SUM(AA11+AB11)</f>
        <v>0</v>
      </c>
      <c r="AD11" s="68"/>
      <c r="AE11" s="68"/>
      <c r="AF11" s="68">
        <f t="shared" ref="AF11:AF41" si="13">SUM(AD11+AE11)</f>
        <v>0</v>
      </c>
      <c r="AG11" s="68"/>
      <c r="AH11" s="68"/>
      <c r="AI11" s="68">
        <f t="shared" ref="AI11:AI41" si="14">SUM(AG11+AH11)</f>
        <v>0</v>
      </c>
      <c r="AJ11" s="68"/>
      <c r="AK11" s="68"/>
      <c r="AL11" s="68">
        <f t="shared" ref="AL11:AL41" si="16">SUM(AJ11+AK11)</f>
        <v>0</v>
      </c>
    </row>
    <row r="12" ht="18.0" customHeight="1">
      <c r="B12" s="69">
        <v>45597.0</v>
      </c>
      <c r="C12" s="70"/>
      <c r="D12" s="70"/>
      <c r="E12" s="68">
        <f t="shared" si="1"/>
        <v>0</v>
      </c>
      <c r="F12" s="71">
        <v>652.0</v>
      </c>
      <c r="G12" s="72">
        <v>0.0</v>
      </c>
      <c r="H12" s="68">
        <f t="shared" ref="H12:H41" si="17">SUM(F12+G12)</f>
        <v>652</v>
      </c>
      <c r="I12" s="73">
        <f t="shared" ref="I12:J12" si="2">F12*55000*0.35/1000/0.55</f>
        <v>22820</v>
      </c>
      <c r="J12" s="73">
        <f t="shared" si="2"/>
        <v>0</v>
      </c>
      <c r="K12" s="68">
        <f t="shared" ref="K12:K41" si="19">J12+I12</f>
        <v>22820</v>
      </c>
      <c r="L12" s="71">
        <v>27753.0</v>
      </c>
      <c r="M12" s="71">
        <v>0.0</v>
      </c>
      <c r="N12" s="68">
        <f t="shared" si="3"/>
        <v>27753</v>
      </c>
      <c r="O12" s="71">
        <v>3315.8273381294966</v>
      </c>
      <c r="P12" s="71">
        <v>0.0</v>
      </c>
      <c r="Q12" s="68">
        <f t="shared" si="4"/>
        <v>3315.827338</v>
      </c>
      <c r="R12" s="71">
        <f t="shared" ref="R12:S12" si="5">L12-O12</f>
        <v>24437.17266</v>
      </c>
      <c r="S12" s="71">
        <f t="shared" si="5"/>
        <v>0</v>
      </c>
      <c r="T12" s="68">
        <f t="shared" si="6"/>
        <v>24437.17266</v>
      </c>
      <c r="U12" s="71">
        <f t="shared" ref="U12:V12" si="7">R12*0.55</f>
        <v>13440.44496</v>
      </c>
      <c r="V12" s="71">
        <f t="shared" si="7"/>
        <v>0</v>
      </c>
      <c r="W12" s="68">
        <f t="shared" si="8"/>
        <v>13440.44496</v>
      </c>
      <c r="X12" s="71">
        <f t="shared" ref="X12:Y12" si="9">U12/0.95</f>
        <v>14147.8368</v>
      </c>
      <c r="Y12" s="71">
        <f t="shared" si="9"/>
        <v>0</v>
      </c>
      <c r="Z12" s="68">
        <f t="shared" si="10"/>
        <v>14147.8368</v>
      </c>
      <c r="AA12" s="71">
        <v>9210.1255</v>
      </c>
      <c r="AB12" s="71">
        <v>0.0</v>
      </c>
      <c r="AC12" s="68">
        <f t="shared" si="11"/>
        <v>9210.1255</v>
      </c>
      <c r="AD12" s="71">
        <f t="shared" ref="AD12:AE12" si="12">AA12*0.95</f>
        <v>8749.619225</v>
      </c>
      <c r="AE12" s="71">
        <f t="shared" si="12"/>
        <v>0</v>
      </c>
      <c r="AF12" s="68">
        <f t="shared" si="13"/>
        <v>8749.619225</v>
      </c>
      <c r="AG12" s="71">
        <v>330.0</v>
      </c>
      <c r="AH12" s="71">
        <v>0.0</v>
      </c>
      <c r="AI12" s="68">
        <f t="shared" si="14"/>
        <v>330</v>
      </c>
      <c r="AJ12" s="71">
        <f t="shared" ref="AJ12:AK12" si="15">AG12/1.05506</f>
        <v>312.7784202</v>
      </c>
      <c r="AK12" s="71">
        <f t="shared" si="15"/>
        <v>0</v>
      </c>
      <c r="AL12" s="68">
        <f t="shared" si="16"/>
        <v>312.7784202</v>
      </c>
    </row>
    <row r="13" ht="14.25" customHeight="1">
      <c r="B13" s="69">
        <v>45598.0</v>
      </c>
      <c r="C13" s="70"/>
      <c r="D13" s="70"/>
      <c r="E13" s="68">
        <f t="shared" si="1"/>
        <v>0</v>
      </c>
      <c r="F13" s="71">
        <v>635.0</v>
      </c>
      <c r="G13" s="72">
        <v>0.0</v>
      </c>
      <c r="H13" s="68">
        <f t="shared" si="17"/>
        <v>635</v>
      </c>
      <c r="I13" s="73">
        <f t="shared" ref="I13:J13" si="18">F13*55000*0.35/1000/0.55</f>
        <v>22225</v>
      </c>
      <c r="J13" s="73">
        <f t="shared" si="18"/>
        <v>0</v>
      </c>
      <c r="K13" s="68">
        <f t="shared" si="19"/>
        <v>22225</v>
      </c>
      <c r="L13" s="71">
        <v>27543.0</v>
      </c>
      <c r="M13" s="71">
        <v>0.0</v>
      </c>
      <c r="N13" s="68">
        <f t="shared" si="3"/>
        <v>27543</v>
      </c>
      <c r="O13" s="71">
        <v>3693.5251798561153</v>
      </c>
      <c r="P13" s="71">
        <v>0.0</v>
      </c>
      <c r="Q13" s="68">
        <f t="shared" si="4"/>
        <v>3693.52518</v>
      </c>
      <c r="R13" s="71">
        <f t="shared" ref="R13:S13" si="20">L13-O13</f>
        <v>23849.47482</v>
      </c>
      <c r="S13" s="71">
        <f t="shared" si="20"/>
        <v>0</v>
      </c>
      <c r="T13" s="68">
        <f t="shared" si="6"/>
        <v>23849.47482</v>
      </c>
      <c r="U13" s="71">
        <f t="shared" ref="U13:V13" si="21">R13*0.55</f>
        <v>13117.21115</v>
      </c>
      <c r="V13" s="71">
        <f t="shared" si="21"/>
        <v>0</v>
      </c>
      <c r="W13" s="68">
        <f t="shared" si="8"/>
        <v>13117.21115</v>
      </c>
      <c r="X13" s="71">
        <f t="shared" ref="X13:Y13" si="22">U13/0.95</f>
        <v>13807.59069</v>
      </c>
      <c r="Y13" s="71">
        <f t="shared" si="22"/>
        <v>0</v>
      </c>
      <c r="Z13" s="68">
        <f t="shared" si="10"/>
        <v>13807.59069</v>
      </c>
      <c r="AA13" s="71">
        <v>9433.1319</v>
      </c>
      <c r="AB13" s="71">
        <v>0.0</v>
      </c>
      <c r="AC13" s="68">
        <f t="shared" si="11"/>
        <v>9433.1319</v>
      </c>
      <c r="AD13" s="71">
        <f t="shared" ref="AD13:AE13" si="23">AA13*0.95</f>
        <v>8961.475305</v>
      </c>
      <c r="AE13" s="71">
        <f t="shared" si="23"/>
        <v>0</v>
      </c>
      <c r="AF13" s="68">
        <f t="shared" si="13"/>
        <v>8961.475305</v>
      </c>
      <c r="AG13" s="71">
        <v>337.0</v>
      </c>
      <c r="AH13" s="71">
        <v>0.0</v>
      </c>
      <c r="AI13" s="68">
        <f t="shared" si="14"/>
        <v>337</v>
      </c>
      <c r="AJ13" s="71">
        <f t="shared" ref="AJ13:AK13" si="24">AG13/1.05506</f>
        <v>319.4131139</v>
      </c>
      <c r="AK13" s="71">
        <f t="shared" si="24"/>
        <v>0</v>
      </c>
      <c r="AL13" s="68">
        <f t="shared" si="16"/>
        <v>319.4131139</v>
      </c>
    </row>
    <row r="14" ht="14.25" customHeight="1">
      <c r="B14" s="69">
        <v>45599.0</v>
      </c>
      <c r="C14" s="70"/>
      <c r="D14" s="70"/>
      <c r="E14" s="68">
        <f t="shared" si="1"/>
        <v>0</v>
      </c>
      <c r="F14" s="71">
        <v>285.0</v>
      </c>
      <c r="G14" s="72">
        <v>0.0</v>
      </c>
      <c r="H14" s="68">
        <f t="shared" si="17"/>
        <v>285</v>
      </c>
      <c r="I14" s="73">
        <f t="shared" ref="I14:J14" si="25">F14*55000*0.35/1000/0.55</f>
        <v>9975</v>
      </c>
      <c r="J14" s="73">
        <f t="shared" si="25"/>
        <v>0</v>
      </c>
      <c r="K14" s="68">
        <f t="shared" si="19"/>
        <v>9975</v>
      </c>
      <c r="L14" s="71">
        <v>26846.0</v>
      </c>
      <c r="M14" s="71">
        <v>0.0</v>
      </c>
      <c r="N14" s="68">
        <f t="shared" si="3"/>
        <v>26846</v>
      </c>
      <c r="O14" s="71">
        <v>3400.719424460432</v>
      </c>
      <c r="P14" s="71">
        <v>0.0</v>
      </c>
      <c r="Q14" s="68">
        <f t="shared" si="4"/>
        <v>3400.719424</v>
      </c>
      <c r="R14" s="71">
        <f t="shared" ref="R14:S14" si="26">L14-O14</f>
        <v>23445.28058</v>
      </c>
      <c r="S14" s="71">
        <f t="shared" si="26"/>
        <v>0</v>
      </c>
      <c r="T14" s="68">
        <f t="shared" si="6"/>
        <v>23445.28058</v>
      </c>
      <c r="U14" s="71">
        <f t="shared" ref="U14:V14" si="27">R14*0.55</f>
        <v>12894.90432</v>
      </c>
      <c r="V14" s="71">
        <f t="shared" si="27"/>
        <v>0</v>
      </c>
      <c r="W14" s="68">
        <f t="shared" si="8"/>
        <v>12894.90432</v>
      </c>
      <c r="X14" s="71">
        <f t="shared" ref="X14:Y14" si="28">U14/0.95</f>
        <v>13573.58349</v>
      </c>
      <c r="Y14" s="71">
        <f t="shared" si="28"/>
        <v>0</v>
      </c>
      <c r="Z14" s="68">
        <f t="shared" si="10"/>
        <v>13573.58349</v>
      </c>
      <c r="AA14" s="71">
        <v>9489.5195</v>
      </c>
      <c r="AB14" s="71">
        <v>0.0</v>
      </c>
      <c r="AC14" s="68">
        <f t="shared" si="11"/>
        <v>9489.5195</v>
      </c>
      <c r="AD14" s="71">
        <f t="shared" ref="AD14:AE14" si="29">AA14*0.95</f>
        <v>9015.043525</v>
      </c>
      <c r="AE14" s="71">
        <f t="shared" si="29"/>
        <v>0</v>
      </c>
      <c r="AF14" s="68">
        <f t="shared" si="13"/>
        <v>9015.043525</v>
      </c>
      <c r="AG14" s="71">
        <v>339.0</v>
      </c>
      <c r="AH14" s="71">
        <v>0.0</v>
      </c>
      <c r="AI14" s="68">
        <f t="shared" si="14"/>
        <v>339</v>
      </c>
      <c r="AJ14" s="71">
        <f t="shared" ref="AJ14:AK14" si="30">AG14/1.05506</f>
        <v>321.3087407</v>
      </c>
      <c r="AK14" s="71">
        <f t="shared" si="30"/>
        <v>0</v>
      </c>
      <c r="AL14" s="68">
        <f t="shared" si="16"/>
        <v>321.3087407</v>
      </c>
    </row>
    <row r="15" ht="14.25" customHeight="1">
      <c r="B15" s="69">
        <v>45600.0</v>
      </c>
      <c r="C15" s="70"/>
      <c r="D15" s="70"/>
      <c r="E15" s="68">
        <f t="shared" si="1"/>
        <v>0</v>
      </c>
      <c r="F15" s="71">
        <v>1112.0</v>
      </c>
      <c r="G15" s="72">
        <v>0.0</v>
      </c>
      <c r="H15" s="68">
        <f t="shared" si="17"/>
        <v>1112</v>
      </c>
      <c r="I15" s="73">
        <f t="shared" ref="I15:J15" si="31">F15*55000*0.35/1000/0.55</f>
        <v>38920</v>
      </c>
      <c r="J15" s="73">
        <f t="shared" si="31"/>
        <v>0</v>
      </c>
      <c r="K15" s="68">
        <f t="shared" si="19"/>
        <v>38920</v>
      </c>
      <c r="L15" s="71">
        <v>27585.0</v>
      </c>
      <c r="M15" s="71">
        <v>0.0</v>
      </c>
      <c r="N15" s="68">
        <f t="shared" si="3"/>
        <v>27585</v>
      </c>
      <c r="O15" s="71">
        <v>4095.6834532374105</v>
      </c>
      <c r="P15" s="71">
        <v>0.0</v>
      </c>
      <c r="Q15" s="68">
        <f t="shared" si="4"/>
        <v>4095.683453</v>
      </c>
      <c r="R15" s="71">
        <f t="shared" ref="R15:S15" si="32">L15-O15</f>
        <v>23489.31655</v>
      </c>
      <c r="S15" s="71">
        <f t="shared" si="32"/>
        <v>0</v>
      </c>
      <c r="T15" s="68">
        <f t="shared" si="6"/>
        <v>23489.31655</v>
      </c>
      <c r="U15" s="71">
        <f t="shared" ref="U15:V15" si="33">R15*0.55</f>
        <v>12919.1241</v>
      </c>
      <c r="V15" s="71">
        <f t="shared" si="33"/>
        <v>0</v>
      </c>
      <c r="W15" s="68">
        <f t="shared" si="8"/>
        <v>12919.1241</v>
      </c>
      <c r="X15" s="71">
        <f t="shared" ref="X15:Y15" si="34">U15/0.95</f>
        <v>13599.078</v>
      </c>
      <c r="Y15" s="71">
        <f t="shared" si="34"/>
        <v>0</v>
      </c>
      <c r="Z15" s="68">
        <f t="shared" si="10"/>
        <v>13599.078</v>
      </c>
      <c r="AA15" s="71">
        <v>9709.7284</v>
      </c>
      <c r="AB15" s="71">
        <v>0.0</v>
      </c>
      <c r="AC15" s="68">
        <f t="shared" si="11"/>
        <v>9709.7284</v>
      </c>
      <c r="AD15" s="71">
        <f t="shared" ref="AD15:AE15" si="35">AA15*0.95</f>
        <v>9224.24198</v>
      </c>
      <c r="AE15" s="71">
        <f t="shared" si="35"/>
        <v>0</v>
      </c>
      <c r="AF15" s="68">
        <f t="shared" si="13"/>
        <v>9224.24198</v>
      </c>
      <c r="AG15" s="71">
        <v>347.0</v>
      </c>
      <c r="AH15" s="71">
        <v>0.0</v>
      </c>
      <c r="AI15" s="68">
        <f t="shared" si="14"/>
        <v>347</v>
      </c>
      <c r="AJ15" s="71">
        <f t="shared" ref="AJ15:AK15" si="36">AG15/1.05506</f>
        <v>328.8912479</v>
      </c>
      <c r="AK15" s="71">
        <f t="shared" si="36"/>
        <v>0</v>
      </c>
      <c r="AL15" s="68">
        <f t="shared" si="16"/>
        <v>328.8912479</v>
      </c>
    </row>
    <row r="16" ht="14.25" customHeight="1">
      <c r="B16" s="69">
        <v>45601.0</v>
      </c>
      <c r="C16" s="70"/>
      <c r="D16" s="70"/>
      <c r="E16" s="68">
        <f t="shared" si="1"/>
        <v>0</v>
      </c>
      <c r="F16" s="71">
        <v>1183.0</v>
      </c>
      <c r="G16" s="72">
        <v>0.0</v>
      </c>
      <c r="H16" s="68">
        <f t="shared" si="17"/>
        <v>1183</v>
      </c>
      <c r="I16" s="73">
        <f t="shared" ref="I16:J16" si="37">F16*55000*0.35/1000/0.55</f>
        <v>41405</v>
      </c>
      <c r="J16" s="73">
        <f t="shared" si="37"/>
        <v>0</v>
      </c>
      <c r="K16" s="68">
        <f t="shared" si="19"/>
        <v>41405</v>
      </c>
      <c r="L16" s="71">
        <v>31519.0</v>
      </c>
      <c r="M16" s="71">
        <v>0.0</v>
      </c>
      <c r="N16" s="68">
        <f t="shared" si="3"/>
        <v>31519</v>
      </c>
      <c r="O16" s="71">
        <v>3720.1438848920866</v>
      </c>
      <c r="P16" s="71">
        <v>0.0</v>
      </c>
      <c r="Q16" s="68">
        <f t="shared" si="4"/>
        <v>3720.143885</v>
      </c>
      <c r="R16" s="71">
        <f t="shared" ref="R16:S16" si="38">L16-O16</f>
        <v>27798.85612</v>
      </c>
      <c r="S16" s="71">
        <f t="shared" si="38"/>
        <v>0</v>
      </c>
      <c r="T16" s="68">
        <f t="shared" si="6"/>
        <v>27798.85612</v>
      </c>
      <c r="U16" s="71">
        <f t="shared" ref="U16:V16" si="39">R16*0.55</f>
        <v>15289.37086</v>
      </c>
      <c r="V16" s="71">
        <f t="shared" si="39"/>
        <v>0</v>
      </c>
      <c r="W16" s="68">
        <f t="shared" si="8"/>
        <v>15289.37086</v>
      </c>
      <c r="X16" s="71">
        <f t="shared" ref="X16:Y16" si="40">U16/0.95</f>
        <v>16094.07459</v>
      </c>
      <c r="Y16" s="71">
        <f t="shared" si="40"/>
        <v>0</v>
      </c>
      <c r="Z16" s="68">
        <f t="shared" si="10"/>
        <v>16094.07459</v>
      </c>
      <c r="AA16" s="71">
        <v>9579.2652</v>
      </c>
      <c r="AB16" s="71">
        <v>0.0</v>
      </c>
      <c r="AC16" s="68">
        <f t="shared" si="11"/>
        <v>9579.2652</v>
      </c>
      <c r="AD16" s="71">
        <f t="shared" ref="AD16:AE16" si="41">AA16*0.95</f>
        <v>9100.30194</v>
      </c>
      <c r="AE16" s="71">
        <f t="shared" si="41"/>
        <v>0</v>
      </c>
      <c r="AF16" s="68">
        <f t="shared" si="13"/>
        <v>9100.30194</v>
      </c>
      <c r="AG16" s="71">
        <v>342.0</v>
      </c>
      <c r="AH16" s="71">
        <v>0.0</v>
      </c>
      <c r="AI16" s="68">
        <f t="shared" si="14"/>
        <v>342</v>
      </c>
      <c r="AJ16" s="71">
        <f t="shared" ref="AJ16:AK16" si="42">AG16/1.05506</f>
        <v>324.1521809</v>
      </c>
      <c r="AK16" s="71">
        <f t="shared" si="42"/>
        <v>0</v>
      </c>
      <c r="AL16" s="68">
        <f t="shared" si="16"/>
        <v>324.1521809</v>
      </c>
    </row>
    <row r="17" ht="14.25" customHeight="1">
      <c r="B17" s="69">
        <v>45602.0</v>
      </c>
      <c r="C17" s="70"/>
      <c r="D17" s="70"/>
      <c r="E17" s="68">
        <f t="shared" si="1"/>
        <v>0</v>
      </c>
      <c r="F17" s="71">
        <v>1022.0</v>
      </c>
      <c r="G17" s="72">
        <v>0.0</v>
      </c>
      <c r="H17" s="68">
        <f t="shared" si="17"/>
        <v>1022</v>
      </c>
      <c r="I17" s="73">
        <f t="shared" ref="I17:J17" si="43">F17*55000*0.35/1000/0.55</f>
        <v>35770</v>
      </c>
      <c r="J17" s="73">
        <f t="shared" si="43"/>
        <v>0</v>
      </c>
      <c r="K17" s="68">
        <f t="shared" si="19"/>
        <v>35770</v>
      </c>
      <c r="L17" s="71">
        <v>27626.0</v>
      </c>
      <c r="M17" s="71">
        <v>0.0</v>
      </c>
      <c r="N17" s="68">
        <f t="shared" si="3"/>
        <v>27626</v>
      </c>
      <c r="O17" s="71">
        <v>3610.791366906475</v>
      </c>
      <c r="P17" s="71">
        <v>0.0</v>
      </c>
      <c r="Q17" s="68">
        <f t="shared" si="4"/>
        <v>3610.791367</v>
      </c>
      <c r="R17" s="71">
        <f t="shared" ref="R17:S17" si="44">L17-O17</f>
        <v>24015.20863</v>
      </c>
      <c r="S17" s="71">
        <f t="shared" si="44"/>
        <v>0</v>
      </c>
      <c r="T17" s="68">
        <f t="shared" si="6"/>
        <v>24015.20863</v>
      </c>
      <c r="U17" s="71">
        <f t="shared" ref="U17:V17" si="45">R17*0.55</f>
        <v>13208.36475</v>
      </c>
      <c r="V17" s="71">
        <f t="shared" si="45"/>
        <v>0</v>
      </c>
      <c r="W17" s="68">
        <f t="shared" si="8"/>
        <v>13208.36475</v>
      </c>
      <c r="X17" s="71">
        <f t="shared" ref="X17:Y17" si="46">U17/0.95</f>
        <v>13903.54184</v>
      </c>
      <c r="Y17" s="71">
        <f t="shared" si="46"/>
        <v>0</v>
      </c>
      <c r="Z17" s="68">
        <f t="shared" si="10"/>
        <v>13903.54184</v>
      </c>
      <c r="AA17" s="71">
        <v>8986.2383</v>
      </c>
      <c r="AB17" s="71">
        <v>0.0</v>
      </c>
      <c r="AC17" s="68">
        <f t="shared" si="11"/>
        <v>8986.2383</v>
      </c>
      <c r="AD17" s="71">
        <f t="shared" ref="AD17:AE17" si="47">AA17*0.95</f>
        <v>8536.926385</v>
      </c>
      <c r="AE17" s="71">
        <f t="shared" si="47"/>
        <v>0</v>
      </c>
      <c r="AF17" s="68">
        <f t="shared" si="13"/>
        <v>8536.926385</v>
      </c>
      <c r="AG17" s="71">
        <v>320.0</v>
      </c>
      <c r="AH17" s="71">
        <v>0.0</v>
      </c>
      <c r="AI17" s="68">
        <f t="shared" si="14"/>
        <v>320</v>
      </c>
      <c r="AJ17" s="71">
        <f t="shared" ref="AJ17:AK17" si="48">AG17/1.05506</f>
        <v>303.3002862</v>
      </c>
      <c r="AK17" s="71">
        <f t="shared" si="48"/>
        <v>0</v>
      </c>
      <c r="AL17" s="68">
        <f t="shared" si="16"/>
        <v>303.3002862</v>
      </c>
    </row>
    <row r="18" ht="14.25" customHeight="1">
      <c r="B18" s="69">
        <v>45603.0</v>
      </c>
      <c r="C18" s="70"/>
      <c r="D18" s="70"/>
      <c r="E18" s="68">
        <f t="shared" si="1"/>
        <v>0</v>
      </c>
      <c r="F18" s="71">
        <v>1198.0</v>
      </c>
      <c r="G18" s="72">
        <v>0.0</v>
      </c>
      <c r="H18" s="68">
        <f t="shared" si="17"/>
        <v>1198</v>
      </c>
      <c r="I18" s="73">
        <f t="shared" ref="I18:J18" si="49">F18*55000*0.35/1000/0.55</f>
        <v>41930</v>
      </c>
      <c r="J18" s="73">
        <f t="shared" si="49"/>
        <v>0</v>
      </c>
      <c r="K18" s="68">
        <f t="shared" si="19"/>
        <v>41930</v>
      </c>
      <c r="L18" s="71">
        <v>29770.0</v>
      </c>
      <c r="M18" s="71">
        <v>0.0</v>
      </c>
      <c r="N18" s="68">
        <f t="shared" si="3"/>
        <v>29770</v>
      </c>
      <c r="O18" s="71">
        <v>3888.4892086330938</v>
      </c>
      <c r="P18" s="71">
        <v>0.0</v>
      </c>
      <c r="Q18" s="68">
        <f t="shared" si="4"/>
        <v>3888.489209</v>
      </c>
      <c r="R18" s="71">
        <f t="shared" ref="R18:S18" si="50">L18-O18</f>
        <v>25881.51079</v>
      </c>
      <c r="S18" s="71">
        <f t="shared" si="50"/>
        <v>0</v>
      </c>
      <c r="T18" s="68">
        <f t="shared" si="6"/>
        <v>25881.51079</v>
      </c>
      <c r="U18" s="71">
        <f t="shared" ref="U18:V18" si="51">R18*0.55</f>
        <v>14234.83094</v>
      </c>
      <c r="V18" s="71">
        <f t="shared" si="51"/>
        <v>0</v>
      </c>
      <c r="W18" s="68">
        <f t="shared" si="8"/>
        <v>14234.83094</v>
      </c>
      <c r="X18" s="71">
        <f t="shared" ref="X18:Y18" si="52">U18/0.95</f>
        <v>14984.03256</v>
      </c>
      <c r="Y18" s="71">
        <f t="shared" si="52"/>
        <v>0</v>
      </c>
      <c r="Z18" s="68">
        <f t="shared" si="10"/>
        <v>14984.03256</v>
      </c>
      <c r="AA18" s="71">
        <v>9401.4972</v>
      </c>
      <c r="AB18" s="71">
        <v>0.0</v>
      </c>
      <c r="AC18" s="68">
        <f t="shared" si="11"/>
        <v>9401.4972</v>
      </c>
      <c r="AD18" s="71">
        <f t="shared" ref="AD18:AE18" si="53">AA18*0.95</f>
        <v>8931.42234</v>
      </c>
      <c r="AE18" s="71">
        <f t="shared" si="53"/>
        <v>0</v>
      </c>
      <c r="AF18" s="68">
        <f t="shared" si="13"/>
        <v>8931.42234</v>
      </c>
      <c r="AG18" s="71">
        <v>332.0</v>
      </c>
      <c r="AH18" s="71">
        <v>0.0</v>
      </c>
      <c r="AI18" s="68">
        <f t="shared" si="14"/>
        <v>332</v>
      </c>
      <c r="AJ18" s="71">
        <f t="shared" ref="AJ18:AK18" si="54">AG18/1.05506</f>
        <v>314.674047</v>
      </c>
      <c r="AK18" s="71">
        <f t="shared" si="54"/>
        <v>0</v>
      </c>
      <c r="AL18" s="68">
        <f t="shared" si="16"/>
        <v>314.674047</v>
      </c>
    </row>
    <row r="19" ht="14.25" customHeight="1">
      <c r="B19" s="69">
        <v>45604.0</v>
      </c>
      <c r="C19" s="70"/>
      <c r="D19" s="70"/>
      <c r="E19" s="68">
        <f t="shared" si="1"/>
        <v>0</v>
      </c>
      <c r="F19" s="71">
        <v>1196.0</v>
      </c>
      <c r="G19" s="72">
        <v>0.0</v>
      </c>
      <c r="H19" s="68">
        <f t="shared" si="17"/>
        <v>1196</v>
      </c>
      <c r="I19" s="73">
        <f t="shared" ref="I19:J19" si="55">F19*55000*0.35/1000/0.55</f>
        <v>41860</v>
      </c>
      <c r="J19" s="73">
        <f t="shared" si="55"/>
        <v>0</v>
      </c>
      <c r="K19" s="68">
        <f t="shared" si="19"/>
        <v>41860</v>
      </c>
      <c r="L19" s="71">
        <v>28452.0</v>
      </c>
      <c r="M19" s="71">
        <v>0.0</v>
      </c>
      <c r="N19" s="68">
        <f t="shared" si="3"/>
        <v>28452</v>
      </c>
      <c r="O19" s="71">
        <v>3865.8273381294966</v>
      </c>
      <c r="P19" s="71">
        <v>0.0</v>
      </c>
      <c r="Q19" s="68">
        <f t="shared" si="4"/>
        <v>3865.827338</v>
      </c>
      <c r="R19" s="71">
        <f t="shared" ref="R19:S19" si="56">L19-O19</f>
        <v>24586.17266</v>
      </c>
      <c r="S19" s="71">
        <f t="shared" si="56"/>
        <v>0</v>
      </c>
      <c r="T19" s="68">
        <f t="shared" si="6"/>
        <v>24586.17266</v>
      </c>
      <c r="U19" s="71">
        <f t="shared" ref="U19:V19" si="57">R19*0.55</f>
        <v>13522.39496</v>
      </c>
      <c r="V19" s="71">
        <f t="shared" si="57"/>
        <v>0</v>
      </c>
      <c r="W19" s="68">
        <f t="shared" si="8"/>
        <v>13522.39496</v>
      </c>
      <c r="X19" s="71">
        <f t="shared" ref="X19:Y19" si="58">U19/0.95</f>
        <v>14234.09996</v>
      </c>
      <c r="Y19" s="71">
        <f t="shared" si="58"/>
        <v>0</v>
      </c>
      <c r="Z19" s="68">
        <f t="shared" si="10"/>
        <v>14234.09996</v>
      </c>
      <c r="AA19" s="71">
        <v>9229.8247</v>
      </c>
      <c r="AB19" s="71">
        <v>0.0</v>
      </c>
      <c r="AC19" s="68">
        <f t="shared" si="11"/>
        <v>9229.8247</v>
      </c>
      <c r="AD19" s="71">
        <f t="shared" ref="AD19:AE19" si="59">AA19*0.95</f>
        <v>8768.333465</v>
      </c>
      <c r="AE19" s="71">
        <f t="shared" si="59"/>
        <v>0</v>
      </c>
      <c r="AF19" s="68">
        <f t="shared" si="13"/>
        <v>8768.333465</v>
      </c>
      <c r="AG19" s="71">
        <v>327.0</v>
      </c>
      <c r="AH19" s="71">
        <v>0.0</v>
      </c>
      <c r="AI19" s="68">
        <f t="shared" si="14"/>
        <v>327</v>
      </c>
      <c r="AJ19" s="71">
        <f t="shared" ref="AJ19:AK19" si="60">AG19/1.05506</f>
        <v>309.93498</v>
      </c>
      <c r="AK19" s="71">
        <f t="shared" si="60"/>
        <v>0</v>
      </c>
      <c r="AL19" s="68">
        <f t="shared" si="16"/>
        <v>309.93498</v>
      </c>
    </row>
    <row r="20" ht="14.25" customHeight="1">
      <c r="B20" s="69">
        <v>45605.0</v>
      </c>
      <c r="C20" s="70"/>
      <c r="D20" s="70"/>
      <c r="E20" s="68">
        <f t="shared" si="1"/>
        <v>0</v>
      </c>
      <c r="F20" s="71">
        <v>1292.0</v>
      </c>
      <c r="G20" s="72">
        <v>0.0</v>
      </c>
      <c r="H20" s="68">
        <f t="shared" si="17"/>
        <v>1292</v>
      </c>
      <c r="I20" s="73">
        <f t="shared" ref="I20:J20" si="61">F20*55000*0.35/1000/0.55</f>
        <v>45220</v>
      </c>
      <c r="J20" s="73">
        <f t="shared" si="61"/>
        <v>0</v>
      </c>
      <c r="K20" s="68">
        <f t="shared" si="19"/>
        <v>45220</v>
      </c>
      <c r="L20" s="71">
        <v>30956.0</v>
      </c>
      <c r="M20" s="71">
        <v>0.0</v>
      </c>
      <c r="N20" s="68">
        <f t="shared" si="3"/>
        <v>30956</v>
      </c>
      <c r="O20" s="71">
        <v>3532.7338129496407</v>
      </c>
      <c r="P20" s="71">
        <v>0.0</v>
      </c>
      <c r="Q20" s="68">
        <f t="shared" si="4"/>
        <v>3532.733813</v>
      </c>
      <c r="R20" s="71">
        <f t="shared" ref="R20:S20" si="62">L20-O20</f>
        <v>27423.26619</v>
      </c>
      <c r="S20" s="71">
        <f t="shared" si="62"/>
        <v>0</v>
      </c>
      <c r="T20" s="68">
        <f t="shared" si="6"/>
        <v>27423.26619</v>
      </c>
      <c r="U20" s="71">
        <f t="shared" ref="U20:V20" si="63">R20*0.55</f>
        <v>15082.7964</v>
      </c>
      <c r="V20" s="71">
        <f t="shared" si="63"/>
        <v>0</v>
      </c>
      <c r="W20" s="68">
        <f t="shared" si="8"/>
        <v>15082.7964</v>
      </c>
      <c r="X20" s="71">
        <f t="shared" ref="X20:Y20" si="64">U20/0.95</f>
        <v>15876.62779</v>
      </c>
      <c r="Y20" s="71">
        <f t="shared" si="64"/>
        <v>0</v>
      </c>
      <c r="Z20" s="68">
        <f t="shared" si="10"/>
        <v>15876.62779</v>
      </c>
      <c r="AA20" s="71">
        <v>10680.3492</v>
      </c>
      <c r="AB20" s="71">
        <v>0.0</v>
      </c>
      <c r="AC20" s="68">
        <f t="shared" si="11"/>
        <v>10680.3492</v>
      </c>
      <c r="AD20" s="71">
        <f t="shared" ref="AD20:AE20" si="65">AA20*0.95</f>
        <v>10146.33174</v>
      </c>
      <c r="AE20" s="71">
        <f t="shared" si="65"/>
        <v>0</v>
      </c>
      <c r="AF20" s="68">
        <f t="shared" si="13"/>
        <v>10146.33174</v>
      </c>
      <c r="AG20" s="71">
        <v>379.0</v>
      </c>
      <c r="AH20" s="71">
        <v>0.0</v>
      </c>
      <c r="AI20" s="68">
        <f t="shared" si="14"/>
        <v>379</v>
      </c>
      <c r="AJ20" s="71">
        <f t="shared" ref="AJ20:AK20" si="66">AG20/1.05506</f>
        <v>359.2212765</v>
      </c>
      <c r="AK20" s="71">
        <f t="shared" si="66"/>
        <v>0</v>
      </c>
      <c r="AL20" s="68">
        <f t="shared" si="16"/>
        <v>359.2212765</v>
      </c>
    </row>
    <row r="21" ht="14.25" customHeight="1">
      <c r="B21" s="69">
        <v>45606.0</v>
      </c>
      <c r="C21" s="70"/>
      <c r="D21" s="70"/>
      <c r="E21" s="68">
        <f t="shared" si="1"/>
        <v>0</v>
      </c>
      <c r="F21" s="71">
        <v>196.0</v>
      </c>
      <c r="G21" s="72">
        <v>0.0</v>
      </c>
      <c r="H21" s="68">
        <f t="shared" si="17"/>
        <v>196</v>
      </c>
      <c r="I21" s="73">
        <f t="shared" ref="I21:J21" si="67">F21*55000*0.35/1000/0.55</f>
        <v>6860</v>
      </c>
      <c r="J21" s="73">
        <f t="shared" si="67"/>
        <v>0</v>
      </c>
      <c r="K21" s="68">
        <f t="shared" si="19"/>
        <v>6860</v>
      </c>
      <c r="L21" s="71">
        <v>30833.0</v>
      </c>
      <c r="M21" s="71">
        <v>0.0</v>
      </c>
      <c r="N21" s="68">
        <f t="shared" si="3"/>
        <v>30833</v>
      </c>
      <c r="O21" s="71">
        <v>3594.9640287769785</v>
      </c>
      <c r="P21" s="71">
        <v>0.0</v>
      </c>
      <c r="Q21" s="68">
        <f t="shared" si="4"/>
        <v>3594.964029</v>
      </c>
      <c r="R21" s="71">
        <f t="shared" ref="R21:S21" si="68">L21-O21</f>
        <v>27238.03597</v>
      </c>
      <c r="S21" s="71">
        <f t="shared" si="68"/>
        <v>0</v>
      </c>
      <c r="T21" s="68">
        <f t="shared" si="6"/>
        <v>27238.03597</v>
      </c>
      <c r="U21" s="71">
        <f t="shared" ref="U21:V21" si="69">R21*0.55</f>
        <v>14980.91978</v>
      </c>
      <c r="V21" s="71">
        <f t="shared" si="69"/>
        <v>0</v>
      </c>
      <c r="W21" s="68">
        <f t="shared" si="8"/>
        <v>14980.91978</v>
      </c>
      <c r="X21" s="71">
        <f t="shared" ref="X21:Y21" si="70">U21/0.95</f>
        <v>15769.38925</v>
      </c>
      <c r="Y21" s="71">
        <f t="shared" si="70"/>
        <v>0</v>
      </c>
      <c r="Z21" s="68">
        <f t="shared" si="10"/>
        <v>15769.38925</v>
      </c>
      <c r="AA21" s="71">
        <v>9792.103</v>
      </c>
      <c r="AB21" s="71">
        <v>0.0</v>
      </c>
      <c r="AC21" s="68">
        <f t="shared" si="11"/>
        <v>9792.103</v>
      </c>
      <c r="AD21" s="71">
        <f t="shared" ref="AD21:AE21" si="71">AA21*0.95</f>
        <v>9302.49785</v>
      </c>
      <c r="AE21" s="71">
        <f t="shared" si="71"/>
        <v>0</v>
      </c>
      <c r="AF21" s="68">
        <f t="shared" si="13"/>
        <v>9302.49785</v>
      </c>
      <c r="AG21" s="71">
        <v>348.0</v>
      </c>
      <c r="AH21" s="71">
        <v>0.0</v>
      </c>
      <c r="AI21" s="68">
        <f t="shared" si="14"/>
        <v>348</v>
      </c>
      <c r="AJ21" s="71">
        <f t="shared" ref="AJ21:AK21" si="72">AG21/1.05506</f>
        <v>329.8390613</v>
      </c>
      <c r="AK21" s="71">
        <f t="shared" si="72"/>
        <v>0</v>
      </c>
      <c r="AL21" s="68">
        <f t="shared" si="16"/>
        <v>329.8390613</v>
      </c>
    </row>
    <row r="22" ht="14.25" customHeight="1">
      <c r="B22" s="69">
        <v>45607.0</v>
      </c>
      <c r="C22" s="70"/>
      <c r="D22" s="70"/>
      <c r="E22" s="68">
        <f t="shared" si="1"/>
        <v>0</v>
      </c>
      <c r="F22" s="71">
        <v>990.0</v>
      </c>
      <c r="G22" s="72">
        <v>0.0</v>
      </c>
      <c r="H22" s="68">
        <f t="shared" si="17"/>
        <v>990</v>
      </c>
      <c r="I22" s="73">
        <f t="shared" ref="I22:J22" si="73">F22*55000*0.35/1000/0.55</f>
        <v>34650</v>
      </c>
      <c r="J22" s="73">
        <f t="shared" si="73"/>
        <v>0</v>
      </c>
      <c r="K22" s="68">
        <f t="shared" si="19"/>
        <v>34650</v>
      </c>
      <c r="L22" s="71">
        <v>31597.0</v>
      </c>
      <c r="M22" s="71">
        <v>0.0</v>
      </c>
      <c r="N22" s="68">
        <f t="shared" si="3"/>
        <v>31597</v>
      </c>
      <c r="O22" s="71">
        <v>3698.9208633093526</v>
      </c>
      <c r="P22" s="71">
        <v>0.0</v>
      </c>
      <c r="Q22" s="68">
        <f t="shared" si="4"/>
        <v>3698.920863</v>
      </c>
      <c r="R22" s="71">
        <f t="shared" ref="R22:S22" si="74">L22-O22</f>
        <v>27898.07914</v>
      </c>
      <c r="S22" s="71">
        <f t="shared" si="74"/>
        <v>0</v>
      </c>
      <c r="T22" s="68">
        <f t="shared" si="6"/>
        <v>27898.07914</v>
      </c>
      <c r="U22" s="71">
        <f t="shared" ref="U22:V22" si="75">R22*0.55</f>
        <v>15343.94353</v>
      </c>
      <c r="V22" s="71">
        <f t="shared" si="75"/>
        <v>0</v>
      </c>
      <c r="W22" s="68">
        <f t="shared" si="8"/>
        <v>15343.94353</v>
      </c>
      <c r="X22" s="71">
        <f t="shared" ref="X22:Y22" si="76">U22/0.95</f>
        <v>16151.5195</v>
      </c>
      <c r="Y22" s="71">
        <f t="shared" si="76"/>
        <v>0</v>
      </c>
      <c r="Z22" s="68">
        <f t="shared" si="10"/>
        <v>16151.5195</v>
      </c>
      <c r="AA22" s="71">
        <v>10130.89</v>
      </c>
      <c r="AB22" s="71">
        <v>0.0</v>
      </c>
      <c r="AC22" s="68">
        <f t="shared" si="11"/>
        <v>10130.89</v>
      </c>
      <c r="AD22" s="71">
        <f t="shared" ref="AD22:AE22" si="77">AA22*0.95</f>
        <v>9624.3455</v>
      </c>
      <c r="AE22" s="71">
        <f t="shared" si="77"/>
        <v>0</v>
      </c>
      <c r="AF22" s="68">
        <f t="shared" si="13"/>
        <v>9624.3455</v>
      </c>
      <c r="AG22" s="71">
        <v>358.0</v>
      </c>
      <c r="AH22" s="71">
        <v>0.0</v>
      </c>
      <c r="AI22" s="68">
        <f t="shared" si="14"/>
        <v>358</v>
      </c>
      <c r="AJ22" s="71">
        <f t="shared" ref="AJ22:AK22" si="78">AG22/1.05506</f>
        <v>339.3171952</v>
      </c>
      <c r="AK22" s="71">
        <f t="shared" si="78"/>
        <v>0</v>
      </c>
      <c r="AL22" s="68">
        <f t="shared" si="16"/>
        <v>339.3171952</v>
      </c>
    </row>
    <row r="23" ht="14.25" customHeight="1">
      <c r="B23" s="69">
        <v>45608.0</v>
      </c>
      <c r="C23" s="70"/>
      <c r="D23" s="70"/>
      <c r="E23" s="68">
        <f t="shared" si="1"/>
        <v>0</v>
      </c>
      <c r="F23" s="71">
        <v>1248.0</v>
      </c>
      <c r="G23" s="72">
        <v>0.0</v>
      </c>
      <c r="H23" s="68">
        <f t="shared" si="17"/>
        <v>1248</v>
      </c>
      <c r="I23" s="73">
        <f t="shared" ref="I23:J23" si="79">F23*55000*0.35/1000/0.55</f>
        <v>43680</v>
      </c>
      <c r="J23" s="73">
        <f t="shared" si="79"/>
        <v>0</v>
      </c>
      <c r="K23" s="68">
        <f t="shared" si="19"/>
        <v>43680</v>
      </c>
      <c r="L23" s="71">
        <v>32547.0</v>
      </c>
      <c r="M23" s="71">
        <v>0.0</v>
      </c>
      <c r="N23" s="68">
        <f t="shared" si="3"/>
        <v>32547</v>
      </c>
      <c r="O23" s="71">
        <v>3457.1942446043167</v>
      </c>
      <c r="P23" s="71">
        <v>0.0</v>
      </c>
      <c r="Q23" s="68">
        <f t="shared" si="4"/>
        <v>3457.194245</v>
      </c>
      <c r="R23" s="71">
        <f t="shared" ref="R23:S23" si="80">L23-O23</f>
        <v>29089.80576</v>
      </c>
      <c r="S23" s="71">
        <f t="shared" si="80"/>
        <v>0</v>
      </c>
      <c r="T23" s="68">
        <f t="shared" si="6"/>
        <v>29089.80576</v>
      </c>
      <c r="U23" s="71">
        <f t="shared" ref="U23:V23" si="81">R23*0.55</f>
        <v>15999.39317</v>
      </c>
      <c r="V23" s="71">
        <f t="shared" si="81"/>
        <v>0</v>
      </c>
      <c r="W23" s="68">
        <f t="shared" si="8"/>
        <v>15999.39317</v>
      </c>
      <c r="X23" s="71">
        <f t="shared" ref="X23:Y23" si="82">U23/0.95</f>
        <v>16841.46649</v>
      </c>
      <c r="Y23" s="71">
        <f t="shared" si="82"/>
        <v>0</v>
      </c>
      <c r="Z23" s="68">
        <f t="shared" si="10"/>
        <v>16841.46649</v>
      </c>
      <c r="AA23" s="71">
        <v>8057.966</v>
      </c>
      <c r="AB23" s="71">
        <v>0.0</v>
      </c>
      <c r="AC23" s="68">
        <f t="shared" si="11"/>
        <v>8057.966</v>
      </c>
      <c r="AD23" s="71">
        <f t="shared" ref="AD23:AE23" si="83">AA23*0.95</f>
        <v>7655.0677</v>
      </c>
      <c r="AE23" s="71">
        <f t="shared" si="83"/>
        <v>0</v>
      </c>
      <c r="AF23" s="68">
        <f t="shared" si="13"/>
        <v>7655.0677</v>
      </c>
      <c r="AG23" s="71">
        <v>285.0</v>
      </c>
      <c r="AH23" s="71">
        <v>0.0</v>
      </c>
      <c r="AI23" s="68">
        <f t="shared" si="14"/>
        <v>285</v>
      </c>
      <c r="AJ23" s="71">
        <f t="shared" ref="AJ23:AK23" si="84">AG23/1.05506</f>
        <v>270.1268174</v>
      </c>
      <c r="AK23" s="71">
        <f t="shared" si="84"/>
        <v>0</v>
      </c>
      <c r="AL23" s="68">
        <f t="shared" si="16"/>
        <v>270.1268174</v>
      </c>
    </row>
    <row r="24" ht="14.25" customHeight="1">
      <c r="B24" s="69">
        <v>45609.0</v>
      </c>
      <c r="C24" s="70"/>
      <c r="D24" s="70"/>
      <c r="E24" s="68">
        <f t="shared" si="1"/>
        <v>0</v>
      </c>
      <c r="F24" s="71">
        <v>1103.0</v>
      </c>
      <c r="G24" s="72">
        <v>0.0</v>
      </c>
      <c r="H24" s="68">
        <f t="shared" si="17"/>
        <v>1103</v>
      </c>
      <c r="I24" s="73">
        <f t="shared" ref="I24:J24" si="85">F24*55000*0.35/1000/0.55</f>
        <v>38605</v>
      </c>
      <c r="J24" s="73">
        <f t="shared" si="85"/>
        <v>0</v>
      </c>
      <c r="K24" s="68">
        <f t="shared" si="19"/>
        <v>38605</v>
      </c>
      <c r="L24" s="71">
        <v>31483.0</v>
      </c>
      <c r="M24" s="71">
        <v>0.0</v>
      </c>
      <c r="N24" s="68">
        <f t="shared" si="3"/>
        <v>31483</v>
      </c>
      <c r="O24" s="71">
        <v>4004.676258992806</v>
      </c>
      <c r="P24" s="71">
        <v>0.0</v>
      </c>
      <c r="Q24" s="68">
        <f t="shared" si="4"/>
        <v>4004.676259</v>
      </c>
      <c r="R24" s="71">
        <f t="shared" ref="R24:S24" si="86">L24-O24</f>
        <v>27478.32374</v>
      </c>
      <c r="S24" s="71">
        <f t="shared" si="86"/>
        <v>0</v>
      </c>
      <c r="T24" s="68">
        <f t="shared" si="6"/>
        <v>27478.32374</v>
      </c>
      <c r="U24" s="71">
        <f t="shared" ref="U24:V24" si="87">R24*0.55</f>
        <v>15113.07806</v>
      </c>
      <c r="V24" s="71">
        <f t="shared" si="87"/>
        <v>0</v>
      </c>
      <c r="W24" s="68">
        <f t="shared" si="8"/>
        <v>15113.07806</v>
      </c>
      <c r="X24" s="71">
        <f t="shared" ref="X24:Y24" si="88">U24/0.95</f>
        <v>15908.50322</v>
      </c>
      <c r="Y24" s="71">
        <f t="shared" si="88"/>
        <v>0</v>
      </c>
      <c r="Z24" s="68">
        <f t="shared" si="10"/>
        <v>15908.50322</v>
      </c>
      <c r="AA24" s="71">
        <v>6781.4263</v>
      </c>
      <c r="AB24" s="71">
        <v>0.0</v>
      </c>
      <c r="AC24" s="68">
        <f t="shared" si="11"/>
        <v>6781.4263</v>
      </c>
      <c r="AD24" s="71">
        <f t="shared" ref="AD24:AE24" si="89">AA24*0.95</f>
        <v>6442.354985</v>
      </c>
      <c r="AE24" s="71">
        <f t="shared" si="89"/>
        <v>0</v>
      </c>
      <c r="AF24" s="68">
        <f t="shared" si="13"/>
        <v>6442.354985</v>
      </c>
      <c r="AG24" s="71">
        <v>239.0</v>
      </c>
      <c r="AH24" s="71">
        <v>0.0</v>
      </c>
      <c r="AI24" s="68">
        <f t="shared" si="14"/>
        <v>239</v>
      </c>
      <c r="AJ24" s="71">
        <f t="shared" ref="AJ24:AK24" si="90">AG24/1.05506</f>
        <v>226.5274013</v>
      </c>
      <c r="AK24" s="71">
        <f t="shared" si="90"/>
        <v>0</v>
      </c>
      <c r="AL24" s="68">
        <f t="shared" si="16"/>
        <v>226.5274013</v>
      </c>
    </row>
    <row r="25" ht="14.25" customHeight="1">
      <c r="B25" s="69">
        <v>45610.0</v>
      </c>
      <c r="C25" s="70"/>
      <c r="D25" s="70"/>
      <c r="E25" s="68">
        <f t="shared" si="1"/>
        <v>0</v>
      </c>
      <c r="F25" s="71">
        <v>902.0</v>
      </c>
      <c r="G25" s="72">
        <v>0.0</v>
      </c>
      <c r="H25" s="68">
        <f t="shared" si="17"/>
        <v>902</v>
      </c>
      <c r="I25" s="73">
        <f t="shared" ref="I25:J25" si="91">F25*55000*0.35/1000/0.55</f>
        <v>31570</v>
      </c>
      <c r="J25" s="73">
        <f t="shared" si="91"/>
        <v>0</v>
      </c>
      <c r="K25" s="68">
        <f t="shared" si="19"/>
        <v>31570</v>
      </c>
      <c r="L25" s="71">
        <v>29025.0</v>
      </c>
      <c r="M25" s="71">
        <v>0.0</v>
      </c>
      <c r="N25" s="68">
        <f t="shared" si="3"/>
        <v>29025</v>
      </c>
      <c r="O25" s="71">
        <v>3564.3884892086335</v>
      </c>
      <c r="P25" s="71">
        <v>0.0</v>
      </c>
      <c r="Q25" s="68">
        <f t="shared" si="4"/>
        <v>3564.388489</v>
      </c>
      <c r="R25" s="71">
        <f t="shared" ref="R25:S25" si="92">L25-O25</f>
        <v>25460.61151</v>
      </c>
      <c r="S25" s="71">
        <f t="shared" si="92"/>
        <v>0</v>
      </c>
      <c r="T25" s="68">
        <f t="shared" si="6"/>
        <v>25460.61151</v>
      </c>
      <c r="U25" s="71">
        <f t="shared" ref="U25:V25" si="93">R25*0.55</f>
        <v>14003.33633</v>
      </c>
      <c r="V25" s="71">
        <f t="shared" si="93"/>
        <v>0</v>
      </c>
      <c r="W25" s="68">
        <f t="shared" si="8"/>
        <v>14003.33633</v>
      </c>
      <c r="X25" s="71">
        <f t="shared" ref="X25:Y25" si="94">U25/0.95</f>
        <v>14740.35403</v>
      </c>
      <c r="Y25" s="71">
        <f t="shared" si="94"/>
        <v>0</v>
      </c>
      <c r="Z25" s="68">
        <f t="shared" si="10"/>
        <v>14740.35403</v>
      </c>
      <c r="AA25" s="71">
        <v>3762.7504</v>
      </c>
      <c r="AB25" s="71">
        <v>0.0</v>
      </c>
      <c r="AC25" s="68">
        <f t="shared" si="11"/>
        <v>3762.7504</v>
      </c>
      <c r="AD25" s="71">
        <f t="shared" ref="AD25:AE25" si="95">AA25*0.95</f>
        <v>3574.61288</v>
      </c>
      <c r="AE25" s="71">
        <f t="shared" si="95"/>
        <v>0</v>
      </c>
      <c r="AF25" s="68">
        <f t="shared" si="13"/>
        <v>3574.61288</v>
      </c>
      <c r="AG25" s="71">
        <v>133.0</v>
      </c>
      <c r="AH25" s="71">
        <v>0.0</v>
      </c>
      <c r="AI25" s="68">
        <f t="shared" si="14"/>
        <v>133</v>
      </c>
      <c r="AJ25" s="71">
        <f t="shared" ref="AJ25:AK25" si="96">AG25/1.05506</f>
        <v>126.0591815</v>
      </c>
      <c r="AK25" s="71">
        <f t="shared" si="96"/>
        <v>0</v>
      </c>
      <c r="AL25" s="68">
        <f t="shared" si="16"/>
        <v>126.0591815</v>
      </c>
    </row>
    <row r="26" ht="14.25" customHeight="1">
      <c r="B26" s="69">
        <v>45611.0</v>
      </c>
      <c r="C26" s="70"/>
      <c r="D26" s="70"/>
      <c r="E26" s="68">
        <f t="shared" si="1"/>
        <v>0</v>
      </c>
      <c r="F26" s="71">
        <v>1238.0</v>
      </c>
      <c r="G26" s="72">
        <v>0.0</v>
      </c>
      <c r="H26" s="68">
        <f t="shared" si="17"/>
        <v>1238</v>
      </c>
      <c r="I26" s="73">
        <f t="shared" ref="I26:J26" si="97">F26*55000*0.35/1000/0.55</f>
        <v>43330</v>
      </c>
      <c r="J26" s="73">
        <f t="shared" si="97"/>
        <v>0</v>
      </c>
      <c r="K26" s="68">
        <f t="shared" si="19"/>
        <v>43330</v>
      </c>
      <c r="L26" s="71">
        <v>29319.0</v>
      </c>
      <c r="M26" s="71">
        <v>0.0</v>
      </c>
      <c r="N26" s="68">
        <f t="shared" si="3"/>
        <v>29319</v>
      </c>
      <c r="O26" s="71">
        <v>3356.834532374101</v>
      </c>
      <c r="P26" s="71">
        <v>0.0</v>
      </c>
      <c r="Q26" s="68">
        <f t="shared" si="4"/>
        <v>3356.834532</v>
      </c>
      <c r="R26" s="71">
        <f t="shared" ref="R26:S26" si="98">L26-O26</f>
        <v>25962.16547</v>
      </c>
      <c r="S26" s="71">
        <f t="shared" si="98"/>
        <v>0</v>
      </c>
      <c r="T26" s="68">
        <f t="shared" si="6"/>
        <v>25962.16547</v>
      </c>
      <c r="U26" s="71">
        <f t="shared" ref="U26:V26" si="99">R26*0.55</f>
        <v>14279.19101</v>
      </c>
      <c r="V26" s="71">
        <f t="shared" si="99"/>
        <v>0</v>
      </c>
      <c r="W26" s="68">
        <f t="shared" si="8"/>
        <v>14279.19101</v>
      </c>
      <c r="X26" s="71">
        <f t="shared" ref="X26:Y26" si="100">U26/0.95</f>
        <v>15030.72738</v>
      </c>
      <c r="Y26" s="71">
        <f t="shared" si="100"/>
        <v>0</v>
      </c>
      <c r="Z26" s="68">
        <f t="shared" si="10"/>
        <v>15030.72738</v>
      </c>
      <c r="AA26" s="71">
        <v>8979.9019</v>
      </c>
      <c r="AB26" s="71">
        <v>0.0</v>
      </c>
      <c r="AC26" s="68">
        <f t="shared" si="11"/>
        <v>8979.9019</v>
      </c>
      <c r="AD26" s="71">
        <f t="shared" ref="AD26:AE26" si="101">AA26*0.95</f>
        <v>8530.906805</v>
      </c>
      <c r="AE26" s="71">
        <f t="shared" si="101"/>
        <v>0</v>
      </c>
      <c r="AF26" s="68">
        <f t="shared" si="13"/>
        <v>8530.906805</v>
      </c>
      <c r="AG26" s="71">
        <v>317.0</v>
      </c>
      <c r="AH26" s="71">
        <v>0.0</v>
      </c>
      <c r="AI26" s="68">
        <f t="shared" si="14"/>
        <v>317</v>
      </c>
      <c r="AJ26" s="71">
        <f t="shared" ref="AJ26:AK26" si="102">AG26/1.05506</f>
        <v>300.4568461</v>
      </c>
      <c r="AK26" s="71">
        <f t="shared" si="102"/>
        <v>0</v>
      </c>
      <c r="AL26" s="68">
        <f t="shared" si="16"/>
        <v>300.4568461</v>
      </c>
    </row>
    <row r="27" ht="14.25" customHeight="1">
      <c r="B27" s="69">
        <v>45612.0</v>
      </c>
      <c r="C27" s="70"/>
      <c r="D27" s="70"/>
      <c r="E27" s="68">
        <f t="shared" si="1"/>
        <v>0</v>
      </c>
      <c r="F27" s="71">
        <v>1061.0</v>
      </c>
      <c r="G27" s="72">
        <v>0.0</v>
      </c>
      <c r="H27" s="68">
        <f t="shared" si="17"/>
        <v>1061</v>
      </c>
      <c r="I27" s="73">
        <f t="shared" ref="I27:J27" si="103">F27*55000*0.35/1000/0.55</f>
        <v>37135</v>
      </c>
      <c r="J27" s="73">
        <f t="shared" si="103"/>
        <v>0</v>
      </c>
      <c r="K27" s="68">
        <f t="shared" si="19"/>
        <v>37135</v>
      </c>
      <c r="L27" s="71">
        <v>29543.0</v>
      </c>
      <c r="M27" s="71">
        <v>0.0</v>
      </c>
      <c r="N27" s="68">
        <f t="shared" si="3"/>
        <v>29543</v>
      </c>
      <c r="O27" s="71">
        <v>3494.9640287769785</v>
      </c>
      <c r="P27" s="71">
        <v>0.0</v>
      </c>
      <c r="Q27" s="68">
        <f t="shared" si="4"/>
        <v>3494.964029</v>
      </c>
      <c r="R27" s="71">
        <f t="shared" ref="R27:S27" si="104">L27-O27</f>
        <v>26048.03597</v>
      </c>
      <c r="S27" s="71">
        <f t="shared" si="104"/>
        <v>0</v>
      </c>
      <c r="T27" s="68">
        <f t="shared" si="6"/>
        <v>26048.03597</v>
      </c>
      <c r="U27" s="71">
        <f t="shared" ref="U27:V27" si="105">R27*0.55</f>
        <v>14326.41978</v>
      </c>
      <c r="V27" s="71">
        <f t="shared" si="105"/>
        <v>0</v>
      </c>
      <c r="W27" s="68">
        <f t="shared" si="8"/>
        <v>14326.41978</v>
      </c>
      <c r="X27" s="71">
        <f t="shared" ref="X27:Y27" si="106">U27/0.95</f>
        <v>15080.44188</v>
      </c>
      <c r="Y27" s="71">
        <f t="shared" si="106"/>
        <v>0</v>
      </c>
      <c r="Z27" s="68">
        <f t="shared" si="10"/>
        <v>15080.44188</v>
      </c>
      <c r="AA27" s="71">
        <v>8542.9918</v>
      </c>
      <c r="AB27" s="71">
        <v>0.0</v>
      </c>
      <c r="AC27" s="68">
        <f t="shared" si="11"/>
        <v>8542.9918</v>
      </c>
      <c r="AD27" s="71">
        <f t="shared" ref="AD27:AE27" si="107">AA27*0.95</f>
        <v>8115.84221</v>
      </c>
      <c r="AE27" s="71">
        <f t="shared" si="107"/>
        <v>0</v>
      </c>
      <c r="AF27" s="68">
        <f t="shared" si="13"/>
        <v>8115.84221</v>
      </c>
      <c r="AG27" s="71">
        <v>302.0</v>
      </c>
      <c r="AH27" s="71">
        <v>0.0</v>
      </c>
      <c r="AI27" s="68">
        <f t="shared" si="14"/>
        <v>302</v>
      </c>
      <c r="AJ27" s="71">
        <f t="shared" ref="AJ27:AK27" si="108">AG27/1.05506</f>
        <v>286.2396451</v>
      </c>
      <c r="AK27" s="71">
        <f t="shared" si="108"/>
        <v>0</v>
      </c>
      <c r="AL27" s="68">
        <f t="shared" si="16"/>
        <v>286.2396451</v>
      </c>
    </row>
    <row r="28" ht="14.25" customHeight="1">
      <c r="B28" s="69">
        <v>45613.0</v>
      </c>
      <c r="C28" s="70"/>
      <c r="D28" s="70"/>
      <c r="E28" s="68">
        <f t="shared" si="1"/>
        <v>0</v>
      </c>
      <c r="F28" s="71">
        <v>293.0</v>
      </c>
      <c r="G28" s="72">
        <v>0.0</v>
      </c>
      <c r="H28" s="68">
        <f t="shared" si="17"/>
        <v>293</v>
      </c>
      <c r="I28" s="73">
        <f t="shared" ref="I28:J28" si="109">F28*55000*0.35/1000/0.55</f>
        <v>10255</v>
      </c>
      <c r="J28" s="73">
        <f t="shared" si="109"/>
        <v>0</v>
      </c>
      <c r="K28" s="68">
        <f t="shared" si="19"/>
        <v>10255</v>
      </c>
      <c r="L28" s="71">
        <v>22369.0</v>
      </c>
      <c r="M28" s="71">
        <v>0.0</v>
      </c>
      <c r="N28" s="68">
        <f t="shared" si="3"/>
        <v>22369</v>
      </c>
      <c r="O28" s="71">
        <v>2363.3093525179856</v>
      </c>
      <c r="P28" s="71">
        <v>0.0</v>
      </c>
      <c r="Q28" s="68">
        <f t="shared" si="4"/>
        <v>2363.309353</v>
      </c>
      <c r="R28" s="71">
        <f t="shared" ref="R28:S28" si="110">L28-O28</f>
        <v>20005.69065</v>
      </c>
      <c r="S28" s="71">
        <f t="shared" si="110"/>
        <v>0</v>
      </c>
      <c r="T28" s="68">
        <f t="shared" si="6"/>
        <v>20005.69065</v>
      </c>
      <c r="U28" s="71">
        <f t="shared" ref="U28:V28" si="111">R28*0.55</f>
        <v>11003.12986</v>
      </c>
      <c r="V28" s="71">
        <f t="shared" si="111"/>
        <v>0</v>
      </c>
      <c r="W28" s="68">
        <f t="shared" si="8"/>
        <v>11003.12986</v>
      </c>
      <c r="X28" s="71">
        <f t="shared" ref="X28:Y28" si="112">U28/0.95</f>
        <v>11582.24195</v>
      </c>
      <c r="Y28" s="71">
        <f t="shared" si="112"/>
        <v>0</v>
      </c>
      <c r="Z28" s="68">
        <f t="shared" si="10"/>
        <v>11582.24195</v>
      </c>
      <c r="AA28" s="71">
        <v>0.0</v>
      </c>
      <c r="AB28" s="71">
        <v>0.0</v>
      </c>
      <c r="AC28" s="68">
        <f t="shared" si="11"/>
        <v>0</v>
      </c>
      <c r="AD28" s="71">
        <f t="shared" ref="AD28:AE28" si="113">AA28*0.95</f>
        <v>0</v>
      </c>
      <c r="AE28" s="71">
        <f t="shared" si="113"/>
        <v>0</v>
      </c>
      <c r="AF28" s="68">
        <f t="shared" si="13"/>
        <v>0</v>
      </c>
      <c r="AG28" s="71">
        <v>0.0</v>
      </c>
      <c r="AH28" s="71">
        <v>0.0</v>
      </c>
      <c r="AI28" s="68">
        <f t="shared" si="14"/>
        <v>0</v>
      </c>
      <c r="AJ28" s="71">
        <f t="shared" ref="AJ28:AK28" si="114">AG28/1.05506</f>
        <v>0</v>
      </c>
      <c r="AK28" s="71">
        <f t="shared" si="114"/>
        <v>0</v>
      </c>
      <c r="AL28" s="68">
        <f t="shared" si="16"/>
        <v>0</v>
      </c>
    </row>
    <row r="29" ht="14.25" customHeight="1">
      <c r="B29" s="69">
        <v>45614.0</v>
      </c>
      <c r="C29" s="70"/>
      <c r="D29" s="70"/>
      <c r="E29" s="68">
        <f t="shared" si="1"/>
        <v>0</v>
      </c>
      <c r="F29" s="71">
        <v>1309.0</v>
      </c>
      <c r="G29" s="72">
        <v>0.0</v>
      </c>
      <c r="H29" s="68">
        <f t="shared" si="17"/>
        <v>1309</v>
      </c>
      <c r="I29" s="73">
        <f t="shared" ref="I29:J29" si="115">F29*55000*0.35/1000/0.55</f>
        <v>45815</v>
      </c>
      <c r="J29" s="73">
        <f t="shared" si="115"/>
        <v>0</v>
      </c>
      <c r="K29" s="68">
        <f t="shared" si="19"/>
        <v>45815</v>
      </c>
      <c r="L29" s="71">
        <v>14653.0</v>
      </c>
      <c r="M29" s="71">
        <v>0.0</v>
      </c>
      <c r="N29" s="68">
        <f t="shared" si="3"/>
        <v>14653</v>
      </c>
      <c r="O29" s="71">
        <v>1552.8776978417268</v>
      </c>
      <c r="P29" s="71">
        <v>0.0</v>
      </c>
      <c r="Q29" s="68">
        <f t="shared" si="4"/>
        <v>1552.877698</v>
      </c>
      <c r="R29" s="71">
        <f t="shared" ref="R29:S29" si="116">L29-O29</f>
        <v>13100.1223</v>
      </c>
      <c r="S29" s="71">
        <f t="shared" si="116"/>
        <v>0</v>
      </c>
      <c r="T29" s="68">
        <f t="shared" si="6"/>
        <v>13100.1223</v>
      </c>
      <c r="U29" s="71">
        <f t="shared" ref="U29:V29" si="117">R29*0.55</f>
        <v>7205.067266</v>
      </c>
      <c r="V29" s="71">
        <f t="shared" si="117"/>
        <v>0</v>
      </c>
      <c r="W29" s="68">
        <f t="shared" si="8"/>
        <v>7205.067266</v>
      </c>
      <c r="X29" s="71">
        <f t="shared" ref="X29:Y29" si="118">U29/0.95</f>
        <v>7584.281333</v>
      </c>
      <c r="Y29" s="71">
        <f t="shared" si="118"/>
        <v>0</v>
      </c>
      <c r="Z29" s="68">
        <f t="shared" si="10"/>
        <v>7584.281333</v>
      </c>
      <c r="AA29" s="71">
        <v>0.0</v>
      </c>
      <c r="AB29" s="71">
        <v>0.0</v>
      </c>
      <c r="AC29" s="68">
        <f t="shared" si="11"/>
        <v>0</v>
      </c>
      <c r="AD29" s="71">
        <f t="shared" ref="AD29:AE29" si="119">AA29*0.95</f>
        <v>0</v>
      </c>
      <c r="AE29" s="71">
        <f t="shared" si="119"/>
        <v>0</v>
      </c>
      <c r="AF29" s="68">
        <f t="shared" si="13"/>
        <v>0</v>
      </c>
      <c r="AG29" s="71">
        <v>0.0</v>
      </c>
      <c r="AH29" s="71">
        <v>0.0</v>
      </c>
      <c r="AI29" s="68">
        <f t="shared" si="14"/>
        <v>0</v>
      </c>
      <c r="AJ29" s="71">
        <f t="shared" ref="AJ29:AK29" si="120">AG29/1.05506</f>
        <v>0</v>
      </c>
      <c r="AK29" s="71">
        <f t="shared" si="120"/>
        <v>0</v>
      </c>
      <c r="AL29" s="68">
        <f t="shared" si="16"/>
        <v>0</v>
      </c>
    </row>
    <row r="30" ht="14.25" customHeight="1">
      <c r="B30" s="69">
        <v>45615.0</v>
      </c>
      <c r="C30" s="70"/>
      <c r="D30" s="70"/>
      <c r="E30" s="68">
        <f t="shared" si="1"/>
        <v>0</v>
      </c>
      <c r="F30" s="71">
        <v>1075.0</v>
      </c>
      <c r="G30" s="72">
        <v>0.0</v>
      </c>
      <c r="H30" s="68">
        <f t="shared" si="17"/>
        <v>1075</v>
      </c>
      <c r="I30" s="73">
        <f t="shared" ref="I30:J30" si="121">F30*55000*0.35/1000/0.55</f>
        <v>37625</v>
      </c>
      <c r="J30" s="73">
        <f t="shared" si="121"/>
        <v>0</v>
      </c>
      <c r="K30" s="68">
        <f t="shared" si="19"/>
        <v>37625</v>
      </c>
      <c r="L30" s="71">
        <v>19868.0</v>
      </c>
      <c r="M30" s="71">
        <v>0.0</v>
      </c>
      <c r="N30" s="68">
        <f t="shared" si="3"/>
        <v>19868</v>
      </c>
      <c r="O30" s="71">
        <v>2220.1438848920866</v>
      </c>
      <c r="P30" s="71">
        <v>0.0</v>
      </c>
      <c r="Q30" s="68">
        <f t="shared" si="4"/>
        <v>2220.143885</v>
      </c>
      <c r="R30" s="71">
        <f t="shared" ref="R30:S30" si="122">L30-O30</f>
        <v>17647.85612</v>
      </c>
      <c r="S30" s="71">
        <f t="shared" si="122"/>
        <v>0</v>
      </c>
      <c r="T30" s="68">
        <f t="shared" si="6"/>
        <v>17647.85612</v>
      </c>
      <c r="U30" s="71">
        <f t="shared" ref="U30:V30" si="123">R30*0.55</f>
        <v>9706.320863</v>
      </c>
      <c r="V30" s="71">
        <f t="shared" si="123"/>
        <v>0</v>
      </c>
      <c r="W30" s="68">
        <f t="shared" si="8"/>
        <v>9706.320863</v>
      </c>
      <c r="X30" s="71">
        <f t="shared" ref="X30:Y30" si="124">U30/0.95</f>
        <v>10217.17986</v>
      </c>
      <c r="Y30" s="71">
        <f t="shared" si="124"/>
        <v>0</v>
      </c>
      <c r="Z30" s="68">
        <f t="shared" si="10"/>
        <v>10217.17986</v>
      </c>
      <c r="AA30" s="71">
        <v>2101.4134</v>
      </c>
      <c r="AB30" s="71">
        <v>0.0</v>
      </c>
      <c r="AC30" s="68">
        <f t="shared" si="11"/>
        <v>2101.4134</v>
      </c>
      <c r="AD30" s="71">
        <f t="shared" ref="AD30:AE30" si="125">AA30*0.95</f>
        <v>1996.34273</v>
      </c>
      <c r="AE30" s="71">
        <f t="shared" si="125"/>
        <v>0</v>
      </c>
      <c r="AF30" s="68">
        <f t="shared" si="13"/>
        <v>1996.34273</v>
      </c>
      <c r="AG30" s="71">
        <v>75.0</v>
      </c>
      <c r="AH30" s="71">
        <v>0.0</v>
      </c>
      <c r="AI30" s="68">
        <f t="shared" si="14"/>
        <v>75</v>
      </c>
      <c r="AJ30" s="71">
        <f t="shared" ref="AJ30:AK30" si="126">AG30/1.05506</f>
        <v>71.08600459</v>
      </c>
      <c r="AK30" s="71">
        <f t="shared" si="126"/>
        <v>0</v>
      </c>
      <c r="AL30" s="68">
        <f t="shared" si="16"/>
        <v>71.08600459</v>
      </c>
    </row>
    <row r="31" ht="14.25" customHeight="1">
      <c r="B31" s="69">
        <v>45616.0</v>
      </c>
      <c r="C31" s="70"/>
      <c r="D31" s="70"/>
      <c r="E31" s="68">
        <f t="shared" si="1"/>
        <v>0</v>
      </c>
      <c r="F31" s="71">
        <v>945.0</v>
      </c>
      <c r="G31" s="72">
        <v>0.0</v>
      </c>
      <c r="H31" s="68">
        <f t="shared" si="17"/>
        <v>945</v>
      </c>
      <c r="I31" s="73">
        <f t="shared" ref="I31:J31" si="127">F31*55000*0.35/1000/0.55</f>
        <v>33075</v>
      </c>
      <c r="J31" s="73">
        <f t="shared" si="127"/>
        <v>0</v>
      </c>
      <c r="K31" s="68">
        <f t="shared" si="19"/>
        <v>33075</v>
      </c>
      <c r="L31" s="71">
        <v>27710.0</v>
      </c>
      <c r="M31" s="71">
        <v>0.0</v>
      </c>
      <c r="N31" s="68">
        <f t="shared" si="3"/>
        <v>27710</v>
      </c>
      <c r="O31" s="71">
        <v>3924.4604316546765</v>
      </c>
      <c r="P31" s="71">
        <v>0.0</v>
      </c>
      <c r="Q31" s="68">
        <f t="shared" si="4"/>
        <v>3924.460432</v>
      </c>
      <c r="R31" s="71">
        <f t="shared" ref="R31:S31" si="128">L31-O31</f>
        <v>23785.53957</v>
      </c>
      <c r="S31" s="71">
        <f t="shared" si="128"/>
        <v>0</v>
      </c>
      <c r="T31" s="68">
        <f t="shared" si="6"/>
        <v>23785.53957</v>
      </c>
      <c r="U31" s="71">
        <f t="shared" ref="U31:V31" si="129">R31*0.55</f>
        <v>13082.04676</v>
      </c>
      <c r="V31" s="71">
        <f t="shared" si="129"/>
        <v>0</v>
      </c>
      <c r="W31" s="68">
        <f t="shared" si="8"/>
        <v>13082.04676</v>
      </c>
      <c r="X31" s="71">
        <f t="shared" ref="X31:Y31" si="130">U31/0.95</f>
        <v>13770.57554</v>
      </c>
      <c r="Y31" s="71">
        <f t="shared" si="130"/>
        <v>0</v>
      </c>
      <c r="Z31" s="68">
        <f t="shared" si="10"/>
        <v>13770.57554</v>
      </c>
      <c r="AA31" s="71">
        <v>6970.2545</v>
      </c>
      <c r="AB31" s="71">
        <v>0.0</v>
      </c>
      <c r="AC31" s="68">
        <f t="shared" si="11"/>
        <v>6970.2545</v>
      </c>
      <c r="AD31" s="71">
        <f t="shared" ref="AD31:AE31" si="131">AA31*0.95</f>
        <v>6621.741775</v>
      </c>
      <c r="AE31" s="71">
        <f t="shared" si="131"/>
        <v>0</v>
      </c>
      <c r="AF31" s="68">
        <f t="shared" si="13"/>
        <v>6621.741775</v>
      </c>
      <c r="AG31" s="71">
        <v>247.0</v>
      </c>
      <c r="AH31" s="71">
        <v>0.0</v>
      </c>
      <c r="AI31" s="68">
        <f t="shared" si="14"/>
        <v>247</v>
      </c>
      <c r="AJ31" s="71">
        <f t="shared" ref="AJ31:AK31" si="132">AG31/1.05506</f>
        <v>234.1099084</v>
      </c>
      <c r="AK31" s="71">
        <f t="shared" si="132"/>
        <v>0</v>
      </c>
      <c r="AL31" s="68">
        <f t="shared" si="16"/>
        <v>234.1099084</v>
      </c>
    </row>
    <row r="32" ht="14.25" customHeight="1">
      <c r="B32" s="69">
        <v>45617.0</v>
      </c>
      <c r="C32" s="70"/>
      <c r="D32" s="70"/>
      <c r="E32" s="68">
        <f t="shared" si="1"/>
        <v>0</v>
      </c>
      <c r="F32" s="71">
        <v>1048.0</v>
      </c>
      <c r="G32" s="72">
        <v>0.0</v>
      </c>
      <c r="H32" s="68">
        <f t="shared" si="17"/>
        <v>1048</v>
      </c>
      <c r="I32" s="73">
        <f t="shared" ref="I32:J32" si="133">F32*55000*0.35/1000/0.55</f>
        <v>36680</v>
      </c>
      <c r="J32" s="73">
        <f t="shared" si="133"/>
        <v>0</v>
      </c>
      <c r="K32" s="68">
        <f t="shared" si="19"/>
        <v>36680</v>
      </c>
      <c r="L32" s="71">
        <v>28380.0</v>
      </c>
      <c r="M32" s="71">
        <v>0.0</v>
      </c>
      <c r="N32" s="68">
        <f t="shared" si="3"/>
        <v>28380</v>
      </c>
      <c r="O32" s="71">
        <v>3806.474820143885</v>
      </c>
      <c r="P32" s="71">
        <v>0.0</v>
      </c>
      <c r="Q32" s="68">
        <f t="shared" si="4"/>
        <v>3806.47482</v>
      </c>
      <c r="R32" s="71">
        <f t="shared" ref="R32:S32" si="134">L32-O32</f>
        <v>24573.52518</v>
      </c>
      <c r="S32" s="71">
        <f t="shared" si="134"/>
        <v>0</v>
      </c>
      <c r="T32" s="68">
        <f t="shared" si="6"/>
        <v>24573.52518</v>
      </c>
      <c r="U32" s="71">
        <f t="shared" ref="U32:V32" si="135">R32*0.55</f>
        <v>13515.43885</v>
      </c>
      <c r="V32" s="71">
        <f t="shared" si="135"/>
        <v>0</v>
      </c>
      <c r="W32" s="68">
        <f t="shared" si="8"/>
        <v>13515.43885</v>
      </c>
      <c r="X32" s="71">
        <f t="shared" ref="X32:Y32" si="136">U32/0.95</f>
        <v>14226.77774</v>
      </c>
      <c r="Y32" s="71">
        <f t="shared" si="136"/>
        <v>0</v>
      </c>
      <c r="Z32" s="68">
        <f t="shared" si="10"/>
        <v>14226.77774</v>
      </c>
      <c r="AA32" s="71">
        <v>8514.3969</v>
      </c>
      <c r="AB32" s="71">
        <v>0.0</v>
      </c>
      <c r="AC32" s="68">
        <f t="shared" si="11"/>
        <v>8514.3969</v>
      </c>
      <c r="AD32" s="71">
        <f t="shared" ref="AD32:AE32" si="137">AA32*0.95</f>
        <v>8088.677055</v>
      </c>
      <c r="AE32" s="71">
        <f t="shared" si="137"/>
        <v>0</v>
      </c>
      <c r="AF32" s="68">
        <f t="shared" si="13"/>
        <v>8088.677055</v>
      </c>
      <c r="AG32" s="71">
        <v>303.0</v>
      </c>
      <c r="AH32" s="71">
        <v>0.0</v>
      </c>
      <c r="AI32" s="68">
        <f t="shared" si="14"/>
        <v>303</v>
      </c>
      <c r="AJ32" s="71">
        <f t="shared" ref="AJ32:AK32" si="138">AG32/1.05506</f>
        <v>287.1874585</v>
      </c>
      <c r="AK32" s="71">
        <f t="shared" si="138"/>
        <v>0</v>
      </c>
      <c r="AL32" s="68">
        <f t="shared" si="16"/>
        <v>287.1874585</v>
      </c>
    </row>
    <row r="33" ht="14.25" customHeight="1">
      <c r="B33" s="69">
        <v>45618.0</v>
      </c>
      <c r="C33" s="70"/>
      <c r="D33" s="70"/>
      <c r="E33" s="68">
        <f t="shared" si="1"/>
        <v>0</v>
      </c>
      <c r="F33" s="71">
        <v>1077.0</v>
      </c>
      <c r="G33" s="72">
        <v>0.0</v>
      </c>
      <c r="H33" s="68">
        <f t="shared" si="17"/>
        <v>1077</v>
      </c>
      <c r="I33" s="73">
        <f t="shared" ref="I33:J33" si="139">F33*55000*0.35/1000/0.55</f>
        <v>37695</v>
      </c>
      <c r="J33" s="73">
        <f t="shared" si="139"/>
        <v>0</v>
      </c>
      <c r="K33" s="68">
        <f t="shared" si="19"/>
        <v>37695</v>
      </c>
      <c r="L33" s="71">
        <v>14041.0</v>
      </c>
      <c r="M33" s="71">
        <v>0.0</v>
      </c>
      <c r="N33" s="68">
        <f t="shared" si="3"/>
        <v>14041</v>
      </c>
      <c r="O33" s="71">
        <v>3642.086330935252</v>
      </c>
      <c r="P33" s="71">
        <v>0.0</v>
      </c>
      <c r="Q33" s="68">
        <f t="shared" si="4"/>
        <v>3642.086331</v>
      </c>
      <c r="R33" s="71">
        <f t="shared" ref="R33:S33" si="140">L33-O33</f>
        <v>10398.91367</v>
      </c>
      <c r="S33" s="71">
        <f t="shared" si="140"/>
        <v>0</v>
      </c>
      <c r="T33" s="68">
        <f t="shared" si="6"/>
        <v>10398.91367</v>
      </c>
      <c r="U33" s="71">
        <f t="shared" ref="U33:V33" si="141">R33*0.55</f>
        <v>5719.402518</v>
      </c>
      <c r="V33" s="71">
        <f t="shared" si="141"/>
        <v>0</v>
      </c>
      <c r="W33" s="68">
        <f t="shared" si="8"/>
        <v>5719.402518</v>
      </c>
      <c r="X33" s="71">
        <f t="shared" ref="X33:Y33" si="142">U33/0.95</f>
        <v>6020.423703</v>
      </c>
      <c r="Y33" s="71">
        <f t="shared" si="142"/>
        <v>0</v>
      </c>
      <c r="Z33" s="68">
        <f t="shared" si="10"/>
        <v>6020.423703</v>
      </c>
      <c r="AA33" s="71">
        <v>10123.522</v>
      </c>
      <c r="AB33" s="71">
        <v>0.0</v>
      </c>
      <c r="AC33" s="68">
        <f t="shared" si="11"/>
        <v>10123.522</v>
      </c>
      <c r="AD33" s="71">
        <f t="shared" ref="AD33:AE33" si="143">AA33*0.95</f>
        <v>9617.3459</v>
      </c>
      <c r="AE33" s="71">
        <f t="shared" si="143"/>
        <v>0</v>
      </c>
      <c r="AF33" s="68">
        <f t="shared" si="13"/>
        <v>9617.3459</v>
      </c>
      <c r="AG33" s="71">
        <v>360.0</v>
      </c>
      <c r="AH33" s="71">
        <v>0.0</v>
      </c>
      <c r="AI33" s="68">
        <f t="shared" si="14"/>
        <v>360</v>
      </c>
      <c r="AJ33" s="71">
        <f t="shared" ref="AJ33:AK33" si="144">AG33/1.05506</f>
        <v>341.212822</v>
      </c>
      <c r="AK33" s="71">
        <f t="shared" si="144"/>
        <v>0</v>
      </c>
      <c r="AL33" s="68">
        <f t="shared" si="16"/>
        <v>341.212822</v>
      </c>
    </row>
    <row r="34" ht="14.25" customHeight="1">
      <c r="B34" s="69">
        <v>45619.0</v>
      </c>
      <c r="C34" s="70"/>
      <c r="D34" s="70"/>
      <c r="E34" s="68">
        <f t="shared" si="1"/>
        <v>0</v>
      </c>
      <c r="F34" s="71">
        <v>939.0</v>
      </c>
      <c r="G34" s="72">
        <v>0.0</v>
      </c>
      <c r="H34" s="68">
        <f t="shared" si="17"/>
        <v>939</v>
      </c>
      <c r="I34" s="73">
        <f t="shared" ref="I34:J34" si="145">F34*55000*0.35/1000/0.55</f>
        <v>32865</v>
      </c>
      <c r="J34" s="73">
        <f t="shared" si="145"/>
        <v>0</v>
      </c>
      <c r="K34" s="68">
        <f t="shared" si="19"/>
        <v>32865</v>
      </c>
      <c r="L34" s="71">
        <v>29260.0</v>
      </c>
      <c r="M34" s="71">
        <v>0.0</v>
      </c>
      <c r="N34" s="68">
        <f t="shared" si="3"/>
        <v>29260</v>
      </c>
      <c r="O34" s="71">
        <v>3741.7266187050363</v>
      </c>
      <c r="P34" s="71">
        <v>0.0</v>
      </c>
      <c r="Q34" s="68">
        <f t="shared" si="4"/>
        <v>3741.726619</v>
      </c>
      <c r="R34" s="71">
        <f t="shared" ref="R34:S34" si="146">L34-O34</f>
        <v>25518.27338</v>
      </c>
      <c r="S34" s="71">
        <f t="shared" si="146"/>
        <v>0</v>
      </c>
      <c r="T34" s="68">
        <f t="shared" si="6"/>
        <v>25518.27338</v>
      </c>
      <c r="U34" s="71">
        <f t="shared" ref="U34:V34" si="147">R34*0.55</f>
        <v>14035.05036</v>
      </c>
      <c r="V34" s="71">
        <f t="shared" si="147"/>
        <v>0</v>
      </c>
      <c r="W34" s="68">
        <f t="shared" si="8"/>
        <v>14035.05036</v>
      </c>
      <c r="X34" s="71">
        <f t="shared" ref="X34:Y34" si="148">U34/0.95</f>
        <v>14773.73722</v>
      </c>
      <c r="Y34" s="71">
        <f t="shared" si="148"/>
        <v>0</v>
      </c>
      <c r="Z34" s="68">
        <f t="shared" si="10"/>
        <v>14773.73722</v>
      </c>
      <c r="AA34" s="71">
        <v>10496.906</v>
      </c>
      <c r="AB34" s="71">
        <v>0.0</v>
      </c>
      <c r="AC34" s="68">
        <f t="shared" si="11"/>
        <v>10496.906</v>
      </c>
      <c r="AD34" s="71">
        <f t="shared" ref="AD34:AE34" si="149">AA34*0.95</f>
        <v>9972.0607</v>
      </c>
      <c r="AE34" s="71">
        <f t="shared" si="149"/>
        <v>0</v>
      </c>
      <c r="AF34" s="68">
        <f t="shared" si="13"/>
        <v>9972.0607</v>
      </c>
      <c r="AG34" s="71">
        <v>372.0</v>
      </c>
      <c r="AH34" s="71">
        <v>0.0</v>
      </c>
      <c r="AI34" s="68">
        <f t="shared" si="14"/>
        <v>372</v>
      </c>
      <c r="AJ34" s="71">
        <f t="shared" ref="AJ34:AK34" si="150">AG34/1.05506</f>
        <v>352.5865828</v>
      </c>
      <c r="AK34" s="71">
        <f t="shared" si="150"/>
        <v>0</v>
      </c>
      <c r="AL34" s="68">
        <f t="shared" si="16"/>
        <v>352.5865828</v>
      </c>
    </row>
    <row r="35" ht="14.25" customHeight="1">
      <c r="B35" s="69">
        <v>45620.0</v>
      </c>
      <c r="C35" s="70"/>
      <c r="D35" s="70"/>
      <c r="E35" s="68">
        <f t="shared" si="1"/>
        <v>0</v>
      </c>
      <c r="F35" s="71">
        <v>214.0</v>
      </c>
      <c r="G35" s="72">
        <v>0.0</v>
      </c>
      <c r="H35" s="68">
        <f t="shared" si="17"/>
        <v>214</v>
      </c>
      <c r="I35" s="73">
        <f t="shared" ref="I35:J35" si="151">F35*55000*0.35/1000/0.55</f>
        <v>7490</v>
      </c>
      <c r="J35" s="73">
        <f t="shared" si="151"/>
        <v>0</v>
      </c>
      <c r="K35" s="68">
        <f t="shared" si="19"/>
        <v>7490</v>
      </c>
      <c r="L35" s="71">
        <v>30384.0</v>
      </c>
      <c r="M35" s="71">
        <v>0.0</v>
      </c>
      <c r="N35" s="68">
        <f t="shared" si="3"/>
        <v>30384</v>
      </c>
      <c r="O35" s="71">
        <v>3597.1223021582737</v>
      </c>
      <c r="P35" s="71">
        <v>0.0</v>
      </c>
      <c r="Q35" s="68">
        <f t="shared" si="4"/>
        <v>3597.122302</v>
      </c>
      <c r="R35" s="71">
        <f t="shared" ref="R35:S35" si="152">L35-O35</f>
        <v>26786.8777</v>
      </c>
      <c r="S35" s="71">
        <f t="shared" si="152"/>
        <v>0</v>
      </c>
      <c r="T35" s="68">
        <f t="shared" si="6"/>
        <v>26786.8777</v>
      </c>
      <c r="U35" s="71">
        <f t="shared" ref="U35:V35" si="153">R35*0.55</f>
        <v>14732.78273</v>
      </c>
      <c r="V35" s="71">
        <f t="shared" si="153"/>
        <v>0</v>
      </c>
      <c r="W35" s="68">
        <f t="shared" si="8"/>
        <v>14732.78273</v>
      </c>
      <c r="X35" s="71">
        <f t="shared" ref="X35:Y35" si="154">U35/0.95</f>
        <v>15508.19235</v>
      </c>
      <c r="Y35" s="71">
        <f t="shared" si="154"/>
        <v>0</v>
      </c>
      <c r="Z35" s="68">
        <f t="shared" si="10"/>
        <v>15508.19235</v>
      </c>
      <c r="AA35" s="71">
        <v>10235.4129</v>
      </c>
      <c r="AB35" s="71">
        <v>0.0</v>
      </c>
      <c r="AC35" s="68">
        <f t="shared" si="11"/>
        <v>10235.4129</v>
      </c>
      <c r="AD35" s="71">
        <f t="shared" ref="AD35:AE35" si="155">AA35*0.95</f>
        <v>9723.642255</v>
      </c>
      <c r="AE35" s="71">
        <f t="shared" si="155"/>
        <v>0</v>
      </c>
      <c r="AF35" s="68">
        <f t="shared" si="13"/>
        <v>9723.642255</v>
      </c>
      <c r="AG35" s="71">
        <v>362.0</v>
      </c>
      <c r="AH35" s="71">
        <v>0.0</v>
      </c>
      <c r="AI35" s="68">
        <f t="shared" si="14"/>
        <v>362</v>
      </c>
      <c r="AJ35" s="71">
        <f t="shared" ref="AJ35:AK35" si="156">AG35/1.05506</f>
        <v>343.1084488</v>
      </c>
      <c r="AK35" s="71">
        <f t="shared" si="156"/>
        <v>0</v>
      </c>
      <c r="AL35" s="68">
        <f t="shared" si="16"/>
        <v>343.1084488</v>
      </c>
    </row>
    <row r="36" ht="14.25" customHeight="1">
      <c r="B36" s="69">
        <v>45621.0</v>
      </c>
      <c r="C36" s="70"/>
      <c r="D36" s="70"/>
      <c r="E36" s="68">
        <f t="shared" si="1"/>
        <v>0</v>
      </c>
      <c r="F36" s="71">
        <v>1101.0</v>
      </c>
      <c r="G36" s="72">
        <v>0.0</v>
      </c>
      <c r="H36" s="68">
        <f t="shared" si="17"/>
        <v>1101</v>
      </c>
      <c r="I36" s="73">
        <f t="shared" ref="I36:J36" si="157">F36*55000*0.35/1000/0.55</f>
        <v>38535</v>
      </c>
      <c r="J36" s="73">
        <f t="shared" si="157"/>
        <v>0</v>
      </c>
      <c r="K36" s="68">
        <f t="shared" si="19"/>
        <v>38535</v>
      </c>
      <c r="L36" s="71">
        <v>32111.0</v>
      </c>
      <c r="M36" s="71">
        <v>0.0</v>
      </c>
      <c r="N36" s="68">
        <f t="shared" si="3"/>
        <v>32111</v>
      </c>
      <c r="O36" s="71">
        <v>3747.1223021582737</v>
      </c>
      <c r="P36" s="71">
        <v>0.0</v>
      </c>
      <c r="Q36" s="68">
        <f t="shared" si="4"/>
        <v>3747.122302</v>
      </c>
      <c r="R36" s="71">
        <f t="shared" ref="R36:S36" si="158">L36-O36</f>
        <v>28363.8777</v>
      </c>
      <c r="S36" s="71">
        <f t="shared" si="158"/>
        <v>0</v>
      </c>
      <c r="T36" s="68">
        <f t="shared" si="6"/>
        <v>28363.8777</v>
      </c>
      <c r="U36" s="71">
        <f t="shared" ref="U36:V36" si="159">R36*0.55</f>
        <v>15600.13273</v>
      </c>
      <c r="V36" s="71">
        <f t="shared" si="159"/>
        <v>0</v>
      </c>
      <c r="W36" s="68">
        <f t="shared" si="8"/>
        <v>15600.13273</v>
      </c>
      <c r="X36" s="71">
        <f t="shared" ref="X36:Y36" si="160">U36/0.95</f>
        <v>16421.19235</v>
      </c>
      <c r="Y36" s="71">
        <f t="shared" si="160"/>
        <v>0</v>
      </c>
      <c r="Z36" s="68">
        <f t="shared" si="10"/>
        <v>16421.19235</v>
      </c>
      <c r="AA36" s="71">
        <v>10591.9946</v>
      </c>
      <c r="AB36" s="71">
        <v>0.0</v>
      </c>
      <c r="AC36" s="68">
        <f t="shared" si="11"/>
        <v>10591.9946</v>
      </c>
      <c r="AD36" s="71">
        <f t="shared" ref="AD36:AE36" si="161">AA36*0.95</f>
        <v>10062.39487</v>
      </c>
      <c r="AE36" s="71">
        <f t="shared" si="161"/>
        <v>0</v>
      </c>
      <c r="AF36" s="68">
        <f t="shared" si="13"/>
        <v>10062.39487</v>
      </c>
      <c r="AG36" s="71">
        <v>377.0</v>
      </c>
      <c r="AH36" s="71">
        <v>0.0</v>
      </c>
      <c r="AI36" s="68">
        <f t="shared" si="14"/>
        <v>377</v>
      </c>
      <c r="AJ36" s="71">
        <f t="shared" ref="AJ36:AK36" si="162">AG36/1.05506</f>
        <v>357.3256497</v>
      </c>
      <c r="AK36" s="71">
        <f t="shared" si="162"/>
        <v>0</v>
      </c>
      <c r="AL36" s="68">
        <f t="shared" si="16"/>
        <v>357.3256497</v>
      </c>
    </row>
    <row r="37" ht="14.25" customHeight="1">
      <c r="B37" s="69">
        <v>45622.0</v>
      </c>
      <c r="C37" s="70"/>
      <c r="D37" s="70"/>
      <c r="E37" s="68">
        <f t="shared" si="1"/>
        <v>0</v>
      </c>
      <c r="F37" s="71">
        <v>1064.0</v>
      </c>
      <c r="G37" s="72">
        <v>0.0</v>
      </c>
      <c r="H37" s="68">
        <f t="shared" si="17"/>
        <v>1064</v>
      </c>
      <c r="I37" s="73">
        <f t="shared" ref="I37:J37" si="163">F37*55000*0.35/1000/0.55</f>
        <v>37240</v>
      </c>
      <c r="J37" s="73">
        <f t="shared" si="163"/>
        <v>0</v>
      </c>
      <c r="K37" s="68">
        <f t="shared" si="19"/>
        <v>37240</v>
      </c>
      <c r="L37" s="71">
        <v>32076.0</v>
      </c>
      <c r="M37" s="71">
        <v>0.0</v>
      </c>
      <c r="N37" s="68">
        <f t="shared" si="3"/>
        <v>32076</v>
      </c>
      <c r="O37" s="71">
        <v>3735.611510791367</v>
      </c>
      <c r="P37" s="71">
        <v>0.0</v>
      </c>
      <c r="Q37" s="68">
        <f t="shared" si="4"/>
        <v>3735.611511</v>
      </c>
      <c r="R37" s="71">
        <f t="shared" ref="R37:S37" si="164">L37-O37</f>
        <v>28340.38849</v>
      </c>
      <c r="S37" s="71">
        <f t="shared" si="164"/>
        <v>0</v>
      </c>
      <c r="T37" s="68">
        <f t="shared" si="6"/>
        <v>28340.38849</v>
      </c>
      <c r="U37" s="71">
        <f t="shared" ref="U37:V37" si="165">R37*0.55</f>
        <v>15587.21367</v>
      </c>
      <c r="V37" s="71">
        <f t="shared" si="165"/>
        <v>0</v>
      </c>
      <c r="W37" s="68">
        <f t="shared" si="8"/>
        <v>15587.21367</v>
      </c>
      <c r="X37" s="71">
        <f t="shared" ref="X37:Y37" si="166">U37/0.95</f>
        <v>16407.59334</v>
      </c>
      <c r="Y37" s="71">
        <f t="shared" si="166"/>
        <v>0</v>
      </c>
      <c r="Z37" s="68">
        <f t="shared" si="10"/>
        <v>16407.59334</v>
      </c>
      <c r="AA37" s="71">
        <v>10530.1797</v>
      </c>
      <c r="AB37" s="71">
        <v>0.0</v>
      </c>
      <c r="AC37" s="68">
        <f t="shared" si="11"/>
        <v>10530.1797</v>
      </c>
      <c r="AD37" s="71">
        <f t="shared" ref="AD37:AE37" si="167">AA37*0.95</f>
        <v>10003.67072</v>
      </c>
      <c r="AE37" s="71">
        <f t="shared" si="167"/>
        <v>0</v>
      </c>
      <c r="AF37" s="68">
        <f t="shared" si="13"/>
        <v>10003.67072</v>
      </c>
      <c r="AG37" s="71">
        <v>375.0</v>
      </c>
      <c r="AH37" s="71">
        <v>0.0</v>
      </c>
      <c r="AI37" s="68">
        <f t="shared" si="14"/>
        <v>375</v>
      </c>
      <c r="AJ37" s="71">
        <f t="shared" ref="AJ37:AK37" si="168">AG37/1.05506</f>
        <v>355.4300229</v>
      </c>
      <c r="AK37" s="71">
        <f t="shared" si="168"/>
        <v>0</v>
      </c>
      <c r="AL37" s="68">
        <f t="shared" si="16"/>
        <v>355.4300229</v>
      </c>
    </row>
    <row r="38" ht="14.25" customHeight="1">
      <c r="B38" s="69">
        <v>45623.0</v>
      </c>
      <c r="C38" s="70"/>
      <c r="D38" s="70"/>
      <c r="E38" s="68">
        <f t="shared" si="1"/>
        <v>0</v>
      </c>
      <c r="F38" s="71">
        <v>857.0</v>
      </c>
      <c r="G38" s="72">
        <v>0.0</v>
      </c>
      <c r="H38" s="68">
        <f t="shared" si="17"/>
        <v>857</v>
      </c>
      <c r="I38" s="73">
        <f t="shared" ref="I38:J38" si="169">F38*55000*0.35/1000/0.55</f>
        <v>29995</v>
      </c>
      <c r="J38" s="73">
        <f t="shared" si="169"/>
        <v>0</v>
      </c>
      <c r="K38" s="68">
        <f t="shared" si="19"/>
        <v>29995</v>
      </c>
      <c r="L38" s="71">
        <v>31957.0</v>
      </c>
      <c r="M38" s="71">
        <v>0.0</v>
      </c>
      <c r="N38" s="68">
        <f t="shared" si="3"/>
        <v>31957</v>
      </c>
      <c r="O38" s="71">
        <v>3797.8417266187053</v>
      </c>
      <c r="P38" s="71">
        <v>0.0</v>
      </c>
      <c r="Q38" s="68">
        <f t="shared" si="4"/>
        <v>3797.841727</v>
      </c>
      <c r="R38" s="71">
        <f t="shared" ref="R38:S38" si="170">L38-O38</f>
        <v>28159.15827</v>
      </c>
      <c r="S38" s="71">
        <f t="shared" si="170"/>
        <v>0</v>
      </c>
      <c r="T38" s="68">
        <f t="shared" si="6"/>
        <v>28159.15827</v>
      </c>
      <c r="U38" s="71">
        <f t="shared" ref="U38:V38" si="171">R38*0.55</f>
        <v>15487.53705</v>
      </c>
      <c r="V38" s="71">
        <f t="shared" si="171"/>
        <v>0</v>
      </c>
      <c r="W38" s="68">
        <f t="shared" si="8"/>
        <v>15487.53705</v>
      </c>
      <c r="X38" s="71">
        <f t="shared" ref="X38:Y38" si="172">U38/0.95</f>
        <v>16302.67058</v>
      </c>
      <c r="Y38" s="71">
        <f t="shared" si="172"/>
        <v>0</v>
      </c>
      <c r="Z38" s="68">
        <f t="shared" si="10"/>
        <v>16302.67058</v>
      </c>
      <c r="AA38" s="71">
        <v>10548.1564</v>
      </c>
      <c r="AB38" s="71">
        <v>0.0</v>
      </c>
      <c r="AC38" s="68">
        <f t="shared" si="11"/>
        <v>10548.1564</v>
      </c>
      <c r="AD38" s="71">
        <f t="shared" ref="AD38:AE38" si="173">AA38*0.95</f>
        <v>10020.74858</v>
      </c>
      <c r="AE38" s="71">
        <f t="shared" si="173"/>
        <v>0</v>
      </c>
      <c r="AF38" s="68">
        <f t="shared" si="13"/>
        <v>10020.74858</v>
      </c>
      <c r="AG38" s="71">
        <v>375.0</v>
      </c>
      <c r="AH38" s="71">
        <v>0.0</v>
      </c>
      <c r="AI38" s="68">
        <f t="shared" si="14"/>
        <v>375</v>
      </c>
      <c r="AJ38" s="71">
        <f t="shared" ref="AJ38:AK38" si="174">AG38/1.05506</f>
        <v>355.4300229</v>
      </c>
      <c r="AK38" s="71">
        <f t="shared" si="174"/>
        <v>0</v>
      </c>
      <c r="AL38" s="68">
        <f t="shared" si="16"/>
        <v>355.4300229</v>
      </c>
    </row>
    <row r="39" ht="14.25" customHeight="1">
      <c r="B39" s="69">
        <v>45624.0</v>
      </c>
      <c r="C39" s="70"/>
      <c r="D39" s="70"/>
      <c r="E39" s="68">
        <f t="shared" si="1"/>
        <v>0</v>
      </c>
      <c r="F39" s="71">
        <v>844.0</v>
      </c>
      <c r="G39" s="72">
        <v>0.0</v>
      </c>
      <c r="H39" s="68">
        <f t="shared" si="17"/>
        <v>844</v>
      </c>
      <c r="I39" s="73">
        <f t="shared" ref="I39:J39" si="175">F39*55000*0.35/1000/0.55</f>
        <v>29540</v>
      </c>
      <c r="J39" s="73">
        <f t="shared" si="175"/>
        <v>0</v>
      </c>
      <c r="K39" s="68">
        <f t="shared" si="19"/>
        <v>29540</v>
      </c>
      <c r="L39" s="71">
        <v>32581.0</v>
      </c>
      <c r="M39" s="71">
        <v>0.0</v>
      </c>
      <c r="N39" s="68">
        <f t="shared" si="3"/>
        <v>32581</v>
      </c>
      <c r="O39" s="71">
        <v>3795.3237410071947</v>
      </c>
      <c r="P39" s="71">
        <v>0.0</v>
      </c>
      <c r="Q39" s="68">
        <f t="shared" si="4"/>
        <v>3795.323741</v>
      </c>
      <c r="R39" s="71">
        <f t="shared" ref="R39:S39" si="176">L39-O39</f>
        <v>28785.67626</v>
      </c>
      <c r="S39" s="71">
        <f t="shared" si="176"/>
        <v>0</v>
      </c>
      <c r="T39" s="68">
        <f t="shared" si="6"/>
        <v>28785.67626</v>
      </c>
      <c r="U39" s="71">
        <f t="shared" ref="U39:V39" si="177">R39*0.55</f>
        <v>15832.12194</v>
      </c>
      <c r="V39" s="71">
        <f t="shared" si="177"/>
        <v>0</v>
      </c>
      <c r="W39" s="68">
        <f t="shared" si="8"/>
        <v>15832.12194</v>
      </c>
      <c r="X39" s="71">
        <f t="shared" ref="X39:Y39" si="178">U39/0.95</f>
        <v>16665.39152</v>
      </c>
      <c r="Y39" s="71">
        <f t="shared" si="178"/>
        <v>0</v>
      </c>
      <c r="Z39" s="68">
        <f t="shared" si="10"/>
        <v>16665.39152</v>
      </c>
      <c r="AA39" s="71">
        <v>9802.8952</v>
      </c>
      <c r="AB39" s="71">
        <v>0.0</v>
      </c>
      <c r="AC39" s="68">
        <f t="shared" si="11"/>
        <v>9802.8952</v>
      </c>
      <c r="AD39" s="71">
        <f t="shared" ref="AD39:AE39" si="179">AA39*0.95</f>
        <v>9312.75044</v>
      </c>
      <c r="AE39" s="71">
        <f t="shared" si="179"/>
        <v>0</v>
      </c>
      <c r="AF39" s="68">
        <f t="shared" si="13"/>
        <v>9312.75044</v>
      </c>
      <c r="AG39" s="71">
        <v>350.0</v>
      </c>
      <c r="AH39" s="71">
        <v>0.0</v>
      </c>
      <c r="AI39" s="68">
        <f t="shared" si="14"/>
        <v>350</v>
      </c>
      <c r="AJ39" s="71">
        <f t="shared" ref="AJ39:AK39" si="180">AG39/1.05506</f>
        <v>331.7346881</v>
      </c>
      <c r="AK39" s="71">
        <f t="shared" si="180"/>
        <v>0</v>
      </c>
      <c r="AL39" s="68">
        <f t="shared" si="16"/>
        <v>331.7346881</v>
      </c>
    </row>
    <row r="40" ht="14.25" customHeight="1">
      <c r="B40" s="69">
        <v>45625.0</v>
      </c>
      <c r="C40" s="70"/>
      <c r="D40" s="70"/>
      <c r="E40" s="68">
        <f t="shared" si="1"/>
        <v>0</v>
      </c>
      <c r="F40" s="71">
        <v>397.0</v>
      </c>
      <c r="G40" s="72">
        <v>0.0</v>
      </c>
      <c r="H40" s="68">
        <f t="shared" si="17"/>
        <v>397</v>
      </c>
      <c r="I40" s="73">
        <f t="shared" ref="I40:J40" si="181">F40*55000*0.35/1000/0.55</f>
        <v>13895</v>
      </c>
      <c r="J40" s="73">
        <f t="shared" si="181"/>
        <v>0</v>
      </c>
      <c r="K40" s="68">
        <f t="shared" si="19"/>
        <v>13895</v>
      </c>
      <c r="L40" s="71">
        <v>32352.0</v>
      </c>
      <c r="M40" s="71">
        <v>0.0</v>
      </c>
      <c r="N40" s="68">
        <f t="shared" si="3"/>
        <v>32352</v>
      </c>
      <c r="O40" s="71">
        <v>3505.395683453238</v>
      </c>
      <c r="P40" s="71">
        <v>0.0</v>
      </c>
      <c r="Q40" s="68">
        <f t="shared" si="4"/>
        <v>3505.395683</v>
      </c>
      <c r="R40" s="71">
        <f t="shared" ref="R40:S40" si="182">L40-O40</f>
        <v>28846.60432</v>
      </c>
      <c r="S40" s="71">
        <f t="shared" si="182"/>
        <v>0</v>
      </c>
      <c r="T40" s="68">
        <f t="shared" si="6"/>
        <v>28846.60432</v>
      </c>
      <c r="U40" s="71">
        <f t="shared" ref="U40:V40" si="183">R40*0.55</f>
        <v>15865.63237</v>
      </c>
      <c r="V40" s="71">
        <f t="shared" si="183"/>
        <v>0</v>
      </c>
      <c r="W40" s="68">
        <f t="shared" si="8"/>
        <v>15865.63237</v>
      </c>
      <c r="X40" s="71">
        <f t="shared" ref="X40:Y40" si="184">U40/0.95</f>
        <v>16700.66566</v>
      </c>
      <c r="Y40" s="71">
        <f t="shared" si="184"/>
        <v>0</v>
      </c>
      <c r="Z40" s="68">
        <f t="shared" si="10"/>
        <v>16700.66566</v>
      </c>
      <c r="AA40" s="71">
        <v>9851.0619</v>
      </c>
      <c r="AB40" s="71">
        <v>0.0</v>
      </c>
      <c r="AC40" s="68">
        <f t="shared" si="11"/>
        <v>9851.0619</v>
      </c>
      <c r="AD40" s="71">
        <f t="shared" ref="AD40:AE40" si="185">AA40*0.95</f>
        <v>9358.508805</v>
      </c>
      <c r="AE40" s="71">
        <f t="shared" si="185"/>
        <v>0</v>
      </c>
      <c r="AF40" s="68">
        <f t="shared" si="13"/>
        <v>9358.508805</v>
      </c>
      <c r="AG40" s="71">
        <v>351.0</v>
      </c>
      <c r="AH40" s="71">
        <v>0.0</v>
      </c>
      <c r="AI40" s="68">
        <f t="shared" si="14"/>
        <v>351</v>
      </c>
      <c r="AJ40" s="71">
        <f t="shared" ref="AJ40:AK40" si="186">AG40/1.05506</f>
        <v>332.6825015</v>
      </c>
      <c r="AK40" s="71">
        <f t="shared" si="186"/>
        <v>0</v>
      </c>
      <c r="AL40" s="68">
        <f t="shared" si="16"/>
        <v>332.6825015</v>
      </c>
    </row>
    <row r="41" ht="14.25" customHeight="1">
      <c r="B41" s="69">
        <v>45626.0</v>
      </c>
      <c r="C41" s="70"/>
      <c r="D41" s="70"/>
      <c r="E41" s="68">
        <f t="shared" si="1"/>
        <v>0</v>
      </c>
      <c r="F41" s="71">
        <v>963.0</v>
      </c>
      <c r="G41" s="72">
        <v>0.0</v>
      </c>
      <c r="H41" s="68">
        <f t="shared" si="17"/>
        <v>963</v>
      </c>
      <c r="I41" s="73">
        <f t="shared" ref="I41:J41" si="187">F40*55000*0.35/1000/0.55</f>
        <v>13895</v>
      </c>
      <c r="J41" s="73">
        <f t="shared" si="187"/>
        <v>0</v>
      </c>
      <c r="K41" s="68">
        <f t="shared" si="19"/>
        <v>13895</v>
      </c>
      <c r="L41" s="71">
        <v>30712.0</v>
      </c>
      <c r="M41" s="71">
        <v>0.0</v>
      </c>
      <c r="N41" s="68">
        <f t="shared" si="3"/>
        <v>30712</v>
      </c>
      <c r="O41" s="71">
        <v>3643.884892086331</v>
      </c>
      <c r="P41" s="71">
        <v>0.0</v>
      </c>
      <c r="Q41" s="68">
        <f t="shared" si="4"/>
        <v>3643.884892</v>
      </c>
      <c r="R41" s="71">
        <f t="shared" ref="R41:S41" si="188">L41-O41</f>
        <v>27068.11511</v>
      </c>
      <c r="S41" s="71">
        <f t="shared" si="188"/>
        <v>0</v>
      </c>
      <c r="T41" s="68">
        <f t="shared" si="6"/>
        <v>27068.11511</v>
      </c>
      <c r="U41" s="71">
        <f t="shared" ref="U41:V41" si="189">R41*0.55</f>
        <v>14887.46331</v>
      </c>
      <c r="V41" s="71">
        <f t="shared" si="189"/>
        <v>0</v>
      </c>
      <c r="W41" s="68">
        <f t="shared" si="8"/>
        <v>14887.46331</v>
      </c>
      <c r="X41" s="71">
        <f t="shared" ref="X41:Y41" si="190">U41/0.95</f>
        <v>15671.01401</v>
      </c>
      <c r="Y41" s="71">
        <f t="shared" si="190"/>
        <v>0</v>
      </c>
      <c r="Z41" s="68">
        <f t="shared" si="10"/>
        <v>15671.01401</v>
      </c>
      <c r="AA41" s="71">
        <v>8979.2284</v>
      </c>
      <c r="AB41" s="71">
        <v>0.0</v>
      </c>
      <c r="AC41" s="68">
        <f t="shared" si="11"/>
        <v>8979.2284</v>
      </c>
      <c r="AD41" s="71">
        <f t="shared" ref="AD41:AE41" si="191">AA41*0.95</f>
        <v>8530.26698</v>
      </c>
      <c r="AE41" s="71">
        <f t="shared" si="191"/>
        <v>0</v>
      </c>
      <c r="AF41" s="68">
        <f t="shared" si="13"/>
        <v>8530.26698</v>
      </c>
      <c r="AG41" s="71">
        <v>318.0</v>
      </c>
      <c r="AH41" s="71">
        <v>0.0</v>
      </c>
      <c r="AI41" s="68">
        <f t="shared" si="14"/>
        <v>318</v>
      </c>
      <c r="AJ41" s="71">
        <f t="shared" ref="AJ41:AK41" si="192">AG41/1.05506</f>
        <v>301.4046595</v>
      </c>
      <c r="AK41" s="71">
        <f t="shared" si="192"/>
        <v>0</v>
      </c>
      <c r="AL41" s="68">
        <f t="shared" si="16"/>
        <v>301.4046595</v>
      </c>
    </row>
    <row r="42" ht="15.0" customHeight="1">
      <c r="B42" s="76" t="s">
        <v>49</v>
      </c>
      <c r="C42" s="77"/>
      <c r="D42" s="77"/>
      <c r="E42" s="77"/>
      <c r="F42" s="77">
        <f t="shared" ref="F42:AI42" si="193">SUM(F12:F41)</f>
        <v>27439</v>
      </c>
      <c r="G42" s="77">
        <f t="shared" si="193"/>
        <v>0</v>
      </c>
      <c r="H42" s="77">
        <f t="shared" si="193"/>
        <v>27439</v>
      </c>
      <c r="I42" s="77">
        <f t="shared" si="193"/>
        <v>940555</v>
      </c>
      <c r="J42" s="77">
        <f t="shared" si="193"/>
        <v>0</v>
      </c>
      <c r="K42" s="77">
        <f t="shared" si="193"/>
        <v>940555</v>
      </c>
      <c r="L42" s="77">
        <f t="shared" si="193"/>
        <v>850851</v>
      </c>
      <c r="M42" s="77">
        <f t="shared" si="193"/>
        <v>0</v>
      </c>
      <c r="N42" s="77">
        <f t="shared" si="193"/>
        <v>850851</v>
      </c>
      <c r="O42" s="77">
        <f t="shared" si="193"/>
        <v>105369.0647</v>
      </c>
      <c r="P42" s="77">
        <f t="shared" si="193"/>
        <v>0</v>
      </c>
      <c r="Q42" s="77">
        <f t="shared" si="193"/>
        <v>105369.0647</v>
      </c>
      <c r="R42" s="77">
        <f t="shared" si="193"/>
        <v>745481.9353</v>
      </c>
      <c r="S42" s="77">
        <f t="shared" si="193"/>
        <v>0</v>
      </c>
      <c r="T42" s="77">
        <f t="shared" si="193"/>
        <v>745481.9353</v>
      </c>
      <c r="U42" s="77">
        <f t="shared" si="193"/>
        <v>410015.0644</v>
      </c>
      <c r="V42" s="77">
        <f t="shared" si="193"/>
        <v>0</v>
      </c>
      <c r="W42" s="77">
        <f t="shared" si="193"/>
        <v>410015.0644</v>
      </c>
      <c r="X42" s="77">
        <f t="shared" si="193"/>
        <v>431594.8046</v>
      </c>
      <c r="Y42" s="77">
        <f t="shared" si="193"/>
        <v>0</v>
      </c>
      <c r="Z42" s="77">
        <f t="shared" si="193"/>
        <v>431594.8046</v>
      </c>
      <c r="AA42" s="77">
        <f t="shared" si="193"/>
        <v>250513.1312</v>
      </c>
      <c r="AB42" s="77">
        <f t="shared" si="193"/>
        <v>0</v>
      </c>
      <c r="AC42" s="77">
        <f t="shared" si="193"/>
        <v>250513.1312</v>
      </c>
      <c r="AD42" s="77">
        <f t="shared" si="193"/>
        <v>237987.4746</v>
      </c>
      <c r="AE42" s="77">
        <f t="shared" si="193"/>
        <v>0</v>
      </c>
      <c r="AF42" s="77">
        <f t="shared" si="193"/>
        <v>237987.4746</v>
      </c>
      <c r="AG42" s="77">
        <f t="shared" si="193"/>
        <v>8900</v>
      </c>
      <c r="AH42" s="77">
        <f t="shared" si="193"/>
        <v>0</v>
      </c>
      <c r="AI42" s="77">
        <f t="shared" si="193"/>
        <v>8900</v>
      </c>
      <c r="AJ42" s="78">
        <v>8436.0</v>
      </c>
      <c r="AK42" s="77">
        <f t="shared" ref="AK42:AL42" si="194">SUM(AK12:AK41)</f>
        <v>0</v>
      </c>
      <c r="AL42" s="77">
        <f t="shared" si="194"/>
        <v>8435.539211</v>
      </c>
      <c r="AN42" s="75">
        <f>AF42/Z42*100</f>
        <v>55.14141322</v>
      </c>
    </row>
    <row r="43" ht="14.25" customHeight="1"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ht="18.0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4.25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8.0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4.2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4.25" customHeight="1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</row>
    <row r="60" ht="14.25" customHeight="1">
      <c r="B60" s="53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4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3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</row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A1" s="55" t="s">
        <v>37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41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3.5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45626.0</v>
      </c>
      <c r="C11" s="67">
        <v>0.0</v>
      </c>
      <c r="D11" s="67">
        <v>45868.0</v>
      </c>
      <c r="E11" s="68">
        <f t="shared" ref="E11:E42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6">SUM(R11+S11)</f>
        <v>0</v>
      </c>
      <c r="U11" s="68"/>
      <c r="V11" s="68"/>
      <c r="W11" s="68">
        <f t="shared" ref="W11:W42" si="8">SUM(U11+V11)</f>
        <v>0</v>
      </c>
      <c r="X11" s="68"/>
      <c r="Y11" s="68"/>
      <c r="Z11" s="68">
        <f t="shared" ref="Z11:Z42" si="10">SUM(X11+Y11)</f>
        <v>0</v>
      </c>
      <c r="AA11" s="68"/>
      <c r="AB11" s="68"/>
      <c r="AC11" s="68">
        <f t="shared" ref="AC11:AC42" si="11">SUM(AA11+AB11)</f>
        <v>0</v>
      </c>
      <c r="AD11" s="68"/>
      <c r="AE11" s="68"/>
      <c r="AF11" s="68">
        <f t="shared" ref="AF11:AF42" si="13">SUM(AD11+AE11)</f>
        <v>0</v>
      </c>
      <c r="AG11" s="68"/>
      <c r="AH11" s="68"/>
      <c r="AI11" s="68">
        <f t="shared" ref="AI11:AI42" si="14">SUM(AG11+AH11)</f>
        <v>0</v>
      </c>
      <c r="AJ11" s="68"/>
      <c r="AK11" s="68"/>
      <c r="AL11" s="68">
        <f t="shared" ref="AL11:AL42" si="16">SUM(AJ11+AK11)</f>
        <v>0</v>
      </c>
    </row>
    <row r="12" ht="18.0" customHeight="1">
      <c r="B12" s="69">
        <v>45627.0</v>
      </c>
      <c r="C12" s="70"/>
      <c r="D12" s="70"/>
      <c r="E12" s="68">
        <f t="shared" si="1"/>
        <v>0</v>
      </c>
      <c r="F12" s="71">
        <v>988.0</v>
      </c>
      <c r="G12" s="72">
        <v>0.0</v>
      </c>
      <c r="H12" s="68">
        <f t="shared" ref="H12:H42" si="17">SUM(F12+G12)</f>
        <v>988</v>
      </c>
      <c r="I12" s="73">
        <f t="shared" ref="I12:J12" si="2">F12*55000*0.35/1000/0.55</f>
        <v>34580</v>
      </c>
      <c r="J12" s="73">
        <f t="shared" si="2"/>
        <v>0</v>
      </c>
      <c r="K12" s="68">
        <f t="shared" ref="K12:K42" si="19">J12+I12</f>
        <v>34580</v>
      </c>
      <c r="L12" s="71">
        <v>24508.0</v>
      </c>
      <c r="M12" s="71">
        <v>0.0</v>
      </c>
      <c r="N12" s="68">
        <f t="shared" si="3"/>
        <v>24508</v>
      </c>
      <c r="O12" s="71">
        <v>3638.129496402878</v>
      </c>
      <c r="P12" s="71">
        <v>0.0</v>
      </c>
      <c r="Q12" s="68">
        <f t="shared" si="4"/>
        <v>3638.129496</v>
      </c>
      <c r="R12" s="71">
        <f t="shared" ref="R12:S12" si="5">L12-O12</f>
        <v>20869.8705</v>
      </c>
      <c r="S12" s="71">
        <f t="shared" si="5"/>
        <v>0</v>
      </c>
      <c r="T12" s="68">
        <f t="shared" si="6"/>
        <v>20869.8705</v>
      </c>
      <c r="U12" s="71">
        <f t="shared" ref="U12:V12" si="7">R12*0.55</f>
        <v>11478.42878</v>
      </c>
      <c r="V12" s="71">
        <f t="shared" si="7"/>
        <v>0</v>
      </c>
      <c r="W12" s="68">
        <f t="shared" si="8"/>
        <v>11478.42878</v>
      </c>
      <c r="X12" s="71">
        <f t="shared" ref="X12:Y12" si="9">U12/0.95</f>
        <v>12082.55661</v>
      </c>
      <c r="Y12" s="71">
        <f t="shared" si="9"/>
        <v>0</v>
      </c>
      <c r="Z12" s="68">
        <f t="shared" si="10"/>
        <v>12082.55661</v>
      </c>
      <c r="AA12" s="71">
        <v>5844.1473</v>
      </c>
      <c r="AB12" s="71">
        <v>0.0</v>
      </c>
      <c r="AC12" s="68">
        <f t="shared" si="11"/>
        <v>5844.1473</v>
      </c>
      <c r="AD12" s="71">
        <f t="shared" ref="AD12:AE12" si="12">AA12*0.95</f>
        <v>5551.939935</v>
      </c>
      <c r="AE12" s="71">
        <f t="shared" si="12"/>
        <v>0</v>
      </c>
      <c r="AF12" s="68">
        <f t="shared" si="13"/>
        <v>5551.939935</v>
      </c>
      <c r="AG12" s="71">
        <v>207.0</v>
      </c>
      <c r="AH12" s="71">
        <v>0.0</v>
      </c>
      <c r="AI12" s="68">
        <f t="shared" si="14"/>
        <v>207</v>
      </c>
      <c r="AJ12" s="71">
        <f t="shared" ref="AJ12:AK12" si="15">AG12/1.05506</f>
        <v>196.1973727</v>
      </c>
      <c r="AK12" s="71">
        <f t="shared" si="15"/>
        <v>0</v>
      </c>
      <c r="AL12" s="68">
        <f t="shared" si="16"/>
        <v>196.1973727</v>
      </c>
    </row>
    <row r="13" ht="14.25" customHeight="1">
      <c r="B13" s="69">
        <v>45628.0</v>
      </c>
      <c r="C13" s="70"/>
      <c r="D13" s="70"/>
      <c r="E13" s="68">
        <f t="shared" si="1"/>
        <v>0</v>
      </c>
      <c r="F13" s="71">
        <v>179.0</v>
      </c>
      <c r="G13" s="72">
        <v>0.0</v>
      </c>
      <c r="H13" s="68">
        <f t="shared" si="17"/>
        <v>179</v>
      </c>
      <c r="I13" s="73">
        <f t="shared" ref="I13:J13" si="18">F13*55000*0.35/1000/0.55</f>
        <v>6265</v>
      </c>
      <c r="J13" s="73">
        <f t="shared" si="18"/>
        <v>0</v>
      </c>
      <c r="K13" s="68">
        <f t="shared" si="19"/>
        <v>6265</v>
      </c>
      <c r="L13" s="71">
        <v>21144.0</v>
      </c>
      <c r="M13" s="71">
        <v>0.0</v>
      </c>
      <c r="N13" s="68">
        <f t="shared" si="3"/>
        <v>21144</v>
      </c>
      <c r="O13" s="71">
        <v>3356.834532374101</v>
      </c>
      <c r="P13" s="71">
        <v>0.0</v>
      </c>
      <c r="Q13" s="68">
        <f t="shared" si="4"/>
        <v>3356.834532</v>
      </c>
      <c r="R13" s="71">
        <f t="shared" ref="R13:S13" si="20">L13-O13</f>
        <v>17787.16547</v>
      </c>
      <c r="S13" s="71">
        <f t="shared" si="20"/>
        <v>0</v>
      </c>
      <c r="T13" s="68">
        <f t="shared" si="6"/>
        <v>17787.16547</v>
      </c>
      <c r="U13" s="71">
        <f t="shared" ref="U13:V13" si="21">R13*0.55</f>
        <v>9782.941007</v>
      </c>
      <c r="V13" s="71">
        <f t="shared" si="21"/>
        <v>0</v>
      </c>
      <c r="W13" s="68">
        <f t="shared" si="8"/>
        <v>9782.941007</v>
      </c>
      <c r="X13" s="71">
        <f t="shared" ref="X13:Y13" si="22">U13/0.95</f>
        <v>10297.83264</v>
      </c>
      <c r="Y13" s="71">
        <f t="shared" si="22"/>
        <v>0</v>
      </c>
      <c r="Z13" s="68">
        <f t="shared" si="10"/>
        <v>10297.83264</v>
      </c>
      <c r="AA13" s="71">
        <v>3899.3059</v>
      </c>
      <c r="AB13" s="71">
        <v>0.0</v>
      </c>
      <c r="AC13" s="68">
        <f t="shared" si="11"/>
        <v>3899.3059</v>
      </c>
      <c r="AD13" s="71">
        <f t="shared" ref="AD13:AE13" si="23">AA13*0.95</f>
        <v>3704.340605</v>
      </c>
      <c r="AE13" s="71">
        <f t="shared" si="23"/>
        <v>0</v>
      </c>
      <c r="AF13" s="68">
        <f t="shared" si="13"/>
        <v>3704.340605</v>
      </c>
      <c r="AG13" s="71">
        <v>138.0</v>
      </c>
      <c r="AH13" s="71">
        <v>0.0</v>
      </c>
      <c r="AI13" s="68">
        <f t="shared" si="14"/>
        <v>138</v>
      </c>
      <c r="AJ13" s="71">
        <f t="shared" ref="AJ13:AK13" si="24">AG13/1.05506</f>
        <v>130.7982484</v>
      </c>
      <c r="AK13" s="71">
        <f t="shared" si="24"/>
        <v>0</v>
      </c>
      <c r="AL13" s="68">
        <f t="shared" si="16"/>
        <v>130.7982484</v>
      </c>
    </row>
    <row r="14" ht="14.25" customHeight="1">
      <c r="B14" s="69">
        <v>45629.0</v>
      </c>
      <c r="C14" s="70"/>
      <c r="D14" s="70"/>
      <c r="E14" s="68">
        <f t="shared" si="1"/>
        <v>0</v>
      </c>
      <c r="F14" s="71">
        <v>1187.0</v>
      </c>
      <c r="G14" s="72">
        <v>0.0</v>
      </c>
      <c r="H14" s="68">
        <f t="shared" si="17"/>
        <v>1187</v>
      </c>
      <c r="I14" s="73">
        <f t="shared" ref="I14:J14" si="25">F14*55000*0.35/1000/0.55</f>
        <v>41545</v>
      </c>
      <c r="J14" s="73">
        <f t="shared" si="25"/>
        <v>0</v>
      </c>
      <c r="K14" s="68">
        <f t="shared" si="19"/>
        <v>41545</v>
      </c>
      <c r="L14" s="71">
        <v>29296.0</v>
      </c>
      <c r="M14" s="71">
        <v>0.0</v>
      </c>
      <c r="N14" s="68">
        <f t="shared" si="3"/>
        <v>29296</v>
      </c>
      <c r="O14" s="71">
        <v>3383.812949640288</v>
      </c>
      <c r="P14" s="71">
        <v>0.0</v>
      </c>
      <c r="Q14" s="68">
        <f t="shared" si="4"/>
        <v>3383.81295</v>
      </c>
      <c r="R14" s="71">
        <f t="shared" ref="R14:S14" si="26">L14-O14</f>
        <v>25912.18705</v>
      </c>
      <c r="S14" s="71">
        <f t="shared" si="26"/>
        <v>0</v>
      </c>
      <c r="T14" s="68">
        <f t="shared" si="6"/>
        <v>25912.18705</v>
      </c>
      <c r="U14" s="71">
        <f t="shared" ref="U14:V14" si="27">R14*0.55</f>
        <v>14251.70288</v>
      </c>
      <c r="V14" s="71">
        <f t="shared" si="27"/>
        <v>0</v>
      </c>
      <c r="W14" s="68">
        <f t="shared" si="8"/>
        <v>14251.70288</v>
      </c>
      <c r="X14" s="71">
        <f t="shared" ref="X14:Y14" si="28">U14/0.95</f>
        <v>15001.7925</v>
      </c>
      <c r="Y14" s="71">
        <f t="shared" si="28"/>
        <v>0</v>
      </c>
      <c r="Z14" s="68">
        <f t="shared" si="10"/>
        <v>15001.7925</v>
      </c>
      <c r="AA14" s="71">
        <v>4088.244</v>
      </c>
      <c r="AB14" s="71">
        <v>0.0</v>
      </c>
      <c r="AC14" s="68">
        <f t="shared" si="11"/>
        <v>4088.244</v>
      </c>
      <c r="AD14" s="71">
        <f t="shared" ref="AD14:AE14" si="29">AA14*0.95</f>
        <v>3883.8318</v>
      </c>
      <c r="AE14" s="71">
        <f t="shared" si="29"/>
        <v>0</v>
      </c>
      <c r="AF14" s="68">
        <f t="shared" si="13"/>
        <v>3883.8318</v>
      </c>
      <c r="AG14" s="71">
        <v>145.0</v>
      </c>
      <c r="AH14" s="71">
        <v>0.0</v>
      </c>
      <c r="AI14" s="68">
        <f t="shared" si="14"/>
        <v>145</v>
      </c>
      <c r="AJ14" s="71">
        <f t="shared" ref="AJ14:AK14" si="30">AG14/1.05506</f>
        <v>137.4329422</v>
      </c>
      <c r="AK14" s="71">
        <f t="shared" si="30"/>
        <v>0</v>
      </c>
      <c r="AL14" s="68">
        <f t="shared" si="16"/>
        <v>137.4329422</v>
      </c>
    </row>
    <row r="15" ht="14.25" customHeight="1">
      <c r="B15" s="69">
        <v>45630.0</v>
      </c>
      <c r="C15" s="70"/>
      <c r="D15" s="70"/>
      <c r="E15" s="68">
        <f t="shared" si="1"/>
        <v>0</v>
      </c>
      <c r="F15" s="71">
        <v>1131.0</v>
      </c>
      <c r="G15" s="72">
        <v>0.0</v>
      </c>
      <c r="H15" s="68">
        <f t="shared" si="17"/>
        <v>1131</v>
      </c>
      <c r="I15" s="73">
        <f t="shared" ref="I15:J15" si="31">F15*55000*0.35/1000/0.55</f>
        <v>39585</v>
      </c>
      <c r="J15" s="73">
        <f t="shared" si="31"/>
        <v>0</v>
      </c>
      <c r="K15" s="68">
        <f t="shared" si="19"/>
        <v>39585</v>
      </c>
      <c r="L15" s="71">
        <v>29057.0</v>
      </c>
      <c r="M15" s="71">
        <v>0.0</v>
      </c>
      <c r="N15" s="68">
        <f t="shared" si="3"/>
        <v>29057</v>
      </c>
      <c r="O15" s="71">
        <v>3415.467625899281</v>
      </c>
      <c r="P15" s="71">
        <v>0.0</v>
      </c>
      <c r="Q15" s="68">
        <f t="shared" si="4"/>
        <v>3415.467626</v>
      </c>
      <c r="R15" s="71">
        <f t="shared" ref="R15:S15" si="32">L15-O15</f>
        <v>25641.53237</v>
      </c>
      <c r="S15" s="71">
        <f t="shared" si="32"/>
        <v>0</v>
      </c>
      <c r="T15" s="68">
        <f t="shared" si="6"/>
        <v>25641.53237</v>
      </c>
      <c r="U15" s="71">
        <f t="shared" ref="U15:V15" si="33">R15*0.55</f>
        <v>14102.84281</v>
      </c>
      <c r="V15" s="71">
        <f t="shared" si="33"/>
        <v>0</v>
      </c>
      <c r="W15" s="68">
        <f t="shared" si="8"/>
        <v>14102.84281</v>
      </c>
      <c r="X15" s="71">
        <f t="shared" ref="X15:Y15" si="34">U15/0.95</f>
        <v>14845.09769</v>
      </c>
      <c r="Y15" s="71">
        <f t="shared" si="34"/>
        <v>0</v>
      </c>
      <c r="Z15" s="68">
        <f t="shared" si="10"/>
        <v>14845.09769</v>
      </c>
      <c r="AA15" s="71">
        <v>5677.825</v>
      </c>
      <c r="AB15" s="71">
        <v>0.0</v>
      </c>
      <c r="AC15" s="68">
        <f t="shared" si="11"/>
        <v>5677.825</v>
      </c>
      <c r="AD15" s="71">
        <f t="shared" ref="AD15:AE15" si="35">AA15*0.95</f>
        <v>5393.93375</v>
      </c>
      <c r="AE15" s="71">
        <f t="shared" si="35"/>
        <v>0</v>
      </c>
      <c r="AF15" s="68">
        <f t="shared" si="13"/>
        <v>5393.93375</v>
      </c>
      <c r="AG15" s="71">
        <v>201.0</v>
      </c>
      <c r="AH15" s="71">
        <v>0.0</v>
      </c>
      <c r="AI15" s="68">
        <f t="shared" si="14"/>
        <v>201</v>
      </c>
      <c r="AJ15" s="71">
        <f t="shared" ref="AJ15:AK15" si="36">AG15/1.05506</f>
        <v>190.5104923</v>
      </c>
      <c r="AK15" s="71">
        <f t="shared" si="36"/>
        <v>0</v>
      </c>
      <c r="AL15" s="68">
        <f t="shared" si="16"/>
        <v>190.5104923</v>
      </c>
    </row>
    <row r="16" ht="14.25" customHeight="1">
      <c r="B16" s="69">
        <v>45631.0</v>
      </c>
      <c r="C16" s="70"/>
      <c r="D16" s="70"/>
      <c r="E16" s="68">
        <f t="shared" si="1"/>
        <v>0</v>
      </c>
      <c r="F16" s="71">
        <v>797.0</v>
      </c>
      <c r="G16" s="72">
        <v>0.0</v>
      </c>
      <c r="H16" s="68">
        <f t="shared" si="17"/>
        <v>797</v>
      </c>
      <c r="I16" s="73">
        <f t="shared" ref="I16:J16" si="37">F16*55000*0.35/1000/0.55</f>
        <v>27895</v>
      </c>
      <c r="J16" s="73">
        <f t="shared" si="37"/>
        <v>0</v>
      </c>
      <c r="K16" s="68">
        <f t="shared" si="19"/>
        <v>27895</v>
      </c>
      <c r="L16" s="71">
        <v>29186.0</v>
      </c>
      <c r="M16" s="71">
        <v>0.0</v>
      </c>
      <c r="N16" s="68">
        <f t="shared" si="3"/>
        <v>29186</v>
      </c>
      <c r="O16" s="71">
        <v>3307.1942446043167</v>
      </c>
      <c r="P16" s="71">
        <v>0.0</v>
      </c>
      <c r="Q16" s="68">
        <f t="shared" si="4"/>
        <v>3307.194245</v>
      </c>
      <c r="R16" s="71">
        <f t="shared" ref="R16:S16" si="38">L16-O16</f>
        <v>25878.80576</v>
      </c>
      <c r="S16" s="71">
        <f t="shared" si="38"/>
        <v>0</v>
      </c>
      <c r="T16" s="68">
        <f t="shared" si="6"/>
        <v>25878.80576</v>
      </c>
      <c r="U16" s="71">
        <f t="shared" ref="U16:V16" si="39">R16*0.55</f>
        <v>14233.34317</v>
      </c>
      <c r="V16" s="71">
        <f t="shared" si="39"/>
        <v>0</v>
      </c>
      <c r="W16" s="68">
        <f t="shared" si="8"/>
        <v>14233.34317</v>
      </c>
      <c r="X16" s="71">
        <f t="shared" ref="X16:Y16" si="40">U16/0.95</f>
        <v>14982.46649</v>
      </c>
      <c r="Y16" s="71">
        <f t="shared" si="40"/>
        <v>0</v>
      </c>
      <c r="Z16" s="68">
        <f t="shared" si="10"/>
        <v>14982.46649</v>
      </c>
      <c r="AA16" s="71">
        <v>7718.5946</v>
      </c>
      <c r="AB16" s="71">
        <v>0.0</v>
      </c>
      <c r="AC16" s="68">
        <f t="shared" si="11"/>
        <v>7718.5946</v>
      </c>
      <c r="AD16" s="71">
        <f t="shared" ref="AD16:AE16" si="41">AA16*0.95</f>
        <v>7332.66487</v>
      </c>
      <c r="AE16" s="71">
        <f t="shared" si="41"/>
        <v>0</v>
      </c>
      <c r="AF16" s="68">
        <f t="shared" si="13"/>
        <v>7332.66487</v>
      </c>
      <c r="AG16" s="71">
        <v>273.0</v>
      </c>
      <c r="AH16" s="71">
        <v>0.0</v>
      </c>
      <c r="AI16" s="68">
        <f t="shared" si="14"/>
        <v>273</v>
      </c>
      <c r="AJ16" s="71">
        <f t="shared" ref="AJ16:AK16" si="42">AG16/1.05506</f>
        <v>258.7530567</v>
      </c>
      <c r="AK16" s="71">
        <f t="shared" si="42"/>
        <v>0</v>
      </c>
      <c r="AL16" s="68">
        <f t="shared" si="16"/>
        <v>258.7530567</v>
      </c>
    </row>
    <row r="17" ht="14.25" customHeight="1">
      <c r="B17" s="69">
        <v>45632.0</v>
      </c>
      <c r="C17" s="70"/>
      <c r="D17" s="70"/>
      <c r="E17" s="68">
        <f t="shared" si="1"/>
        <v>0</v>
      </c>
      <c r="F17" s="71">
        <v>817.0</v>
      </c>
      <c r="G17" s="72">
        <v>0.0</v>
      </c>
      <c r="H17" s="68">
        <f t="shared" si="17"/>
        <v>817</v>
      </c>
      <c r="I17" s="73">
        <f t="shared" ref="I17:J17" si="43">F17*55000*0.35/1000/0.55</f>
        <v>28595</v>
      </c>
      <c r="J17" s="73">
        <f t="shared" si="43"/>
        <v>0</v>
      </c>
      <c r="K17" s="68">
        <f t="shared" si="19"/>
        <v>28595</v>
      </c>
      <c r="L17" s="71">
        <v>23392.0</v>
      </c>
      <c r="M17" s="71">
        <v>0.0</v>
      </c>
      <c r="N17" s="68">
        <f t="shared" si="3"/>
        <v>23392</v>
      </c>
      <c r="O17" s="71">
        <v>2260.791366906475</v>
      </c>
      <c r="P17" s="71">
        <v>0.0</v>
      </c>
      <c r="Q17" s="68">
        <f t="shared" si="4"/>
        <v>2260.791367</v>
      </c>
      <c r="R17" s="71">
        <f t="shared" ref="R17:S17" si="44">L17-O17</f>
        <v>21131.20863</v>
      </c>
      <c r="S17" s="71">
        <f t="shared" si="44"/>
        <v>0</v>
      </c>
      <c r="T17" s="68">
        <f t="shared" si="6"/>
        <v>21131.20863</v>
      </c>
      <c r="U17" s="71">
        <f t="shared" ref="U17:V17" si="45">R17*0.55</f>
        <v>11622.16475</v>
      </c>
      <c r="V17" s="71">
        <f t="shared" si="45"/>
        <v>0</v>
      </c>
      <c r="W17" s="68">
        <f t="shared" si="8"/>
        <v>11622.16475</v>
      </c>
      <c r="X17" s="71">
        <f t="shared" ref="X17:Y17" si="46">U17/0.95</f>
        <v>12233.85763</v>
      </c>
      <c r="Y17" s="71">
        <f t="shared" si="46"/>
        <v>0</v>
      </c>
      <c r="Z17" s="68">
        <f t="shared" si="10"/>
        <v>12233.85763</v>
      </c>
      <c r="AA17" s="71">
        <v>2723.6332</v>
      </c>
      <c r="AB17" s="71">
        <v>0.0</v>
      </c>
      <c r="AC17" s="68">
        <f t="shared" si="11"/>
        <v>2723.6332</v>
      </c>
      <c r="AD17" s="71">
        <f t="shared" ref="AD17:AE17" si="47">AA17*0.95</f>
        <v>2587.45154</v>
      </c>
      <c r="AE17" s="71">
        <f t="shared" si="47"/>
        <v>0</v>
      </c>
      <c r="AF17" s="68">
        <f t="shared" si="13"/>
        <v>2587.45154</v>
      </c>
      <c r="AG17" s="71">
        <v>96.0</v>
      </c>
      <c r="AH17" s="71">
        <v>0.0</v>
      </c>
      <c r="AI17" s="68">
        <f t="shared" si="14"/>
        <v>96</v>
      </c>
      <c r="AJ17" s="71">
        <f t="shared" ref="AJ17:AK17" si="48">AG17/1.05506</f>
        <v>90.99008587</v>
      </c>
      <c r="AK17" s="71">
        <f t="shared" si="48"/>
        <v>0</v>
      </c>
      <c r="AL17" s="68">
        <f t="shared" si="16"/>
        <v>90.99008587</v>
      </c>
    </row>
    <row r="18" ht="14.25" customHeight="1">
      <c r="B18" s="69">
        <v>45633.0</v>
      </c>
      <c r="C18" s="70"/>
      <c r="D18" s="70"/>
      <c r="E18" s="68">
        <f t="shared" si="1"/>
        <v>0</v>
      </c>
      <c r="F18" s="71">
        <v>754.0</v>
      </c>
      <c r="G18" s="72">
        <v>0.0</v>
      </c>
      <c r="H18" s="68">
        <f t="shared" si="17"/>
        <v>754</v>
      </c>
      <c r="I18" s="73">
        <f t="shared" ref="I18:J18" si="49">F18*55000*0.35/1000/0.55</f>
        <v>26390</v>
      </c>
      <c r="J18" s="73">
        <f t="shared" si="49"/>
        <v>0</v>
      </c>
      <c r="K18" s="68">
        <f t="shared" si="19"/>
        <v>26390</v>
      </c>
      <c r="L18" s="71">
        <v>29515.0</v>
      </c>
      <c r="M18" s="71">
        <v>0.0</v>
      </c>
      <c r="N18" s="68">
        <f t="shared" si="3"/>
        <v>29515</v>
      </c>
      <c r="O18" s="71">
        <v>3366.546762589928</v>
      </c>
      <c r="P18" s="71">
        <v>0.0</v>
      </c>
      <c r="Q18" s="68">
        <f t="shared" si="4"/>
        <v>3366.546763</v>
      </c>
      <c r="R18" s="71">
        <f t="shared" ref="R18:S18" si="50">L18-O18</f>
        <v>26148.45324</v>
      </c>
      <c r="S18" s="71">
        <f t="shared" si="50"/>
        <v>0</v>
      </c>
      <c r="T18" s="68">
        <f t="shared" si="6"/>
        <v>26148.45324</v>
      </c>
      <c r="U18" s="71">
        <f t="shared" ref="U18:V18" si="51">R18*0.55</f>
        <v>14381.64928</v>
      </c>
      <c r="V18" s="71">
        <f t="shared" si="51"/>
        <v>0</v>
      </c>
      <c r="W18" s="68">
        <f t="shared" si="8"/>
        <v>14381.64928</v>
      </c>
      <c r="X18" s="71">
        <f t="shared" ref="X18:Y18" si="52">U18/0.95</f>
        <v>15138.57819</v>
      </c>
      <c r="Y18" s="71">
        <f t="shared" si="52"/>
        <v>0</v>
      </c>
      <c r="Z18" s="68">
        <f t="shared" si="10"/>
        <v>15138.57819</v>
      </c>
      <c r="AA18" s="71">
        <v>1743.6132</v>
      </c>
      <c r="AB18" s="71">
        <v>0.0</v>
      </c>
      <c r="AC18" s="68">
        <f t="shared" si="11"/>
        <v>1743.6132</v>
      </c>
      <c r="AD18" s="71">
        <f t="shared" ref="AD18:AE18" si="53">AA18*0.95</f>
        <v>1656.43254</v>
      </c>
      <c r="AE18" s="71">
        <f t="shared" si="53"/>
        <v>0</v>
      </c>
      <c r="AF18" s="68">
        <f t="shared" si="13"/>
        <v>1656.43254</v>
      </c>
      <c r="AG18" s="71">
        <v>62.0</v>
      </c>
      <c r="AH18" s="71">
        <v>0.0</v>
      </c>
      <c r="AI18" s="68">
        <f t="shared" si="14"/>
        <v>62</v>
      </c>
      <c r="AJ18" s="71">
        <f t="shared" ref="AJ18:AK18" si="54">AG18/1.05506</f>
        <v>58.76443046</v>
      </c>
      <c r="AK18" s="71">
        <f t="shared" si="54"/>
        <v>0</v>
      </c>
      <c r="AL18" s="68">
        <f t="shared" si="16"/>
        <v>58.76443046</v>
      </c>
    </row>
    <row r="19" ht="14.25" customHeight="1">
      <c r="B19" s="69">
        <v>45634.0</v>
      </c>
      <c r="C19" s="70"/>
      <c r="D19" s="70"/>
      <c r="E19" s="68">
        <f t="shared" si="1"/>
        <v>0</v>
      </c>
      <c r="F19" s="71">
        <v>272.0</v>
      </c>
      <c r="G19" s="72">
        <v>0.0</v>
      </c>
      <c r="H19" s="68">
        <f t="shared" si="17"/>
        <v>272</v>
      </c>
      <c r="I19" s="73">
        <f t="shared" ref="I19:J19" si="55">F19*55000*0.35/1000/0.55</f>
        <v>9520</v>
      </c>
      <c r="J19" s="73">
        <f t="shared" si="55"/>
        <v>0</v>
      </c>
      <c r="K19" s="68">
        <f t="shared" si="19"/>
        <v>9520</v>
      </c>
      <c r="L19" s="71">
        <v>27030.0</v>
      </c>
      <c r="M19" s="71">
        <v>0.0</v>
      </c>
      <c r="N19" s="68">
        <f t="shared" si="3"/>
        <v>27030</v>
      </c>
      <c r="O19" s="71">
        <v>3117.6258992805756</v>
      </c>
      <c r="P19" s="71">
        <v>0.0</v>
      </c>
      <c r="Q19" s="68">
        <f t="shared" si="4"/>
        <v>3117.625899</v>
      </c>
      <c r="R19" s="71">
        <f t="shared" ref="R19:S19" si="56">L19-O19</f>
        <v>23912.3741</v>
      </c>
      <c r="S19" s="71">
        <f t="shared" si="56"/>
        <v>0</v>
      </c>
      <c r="T19" s="68">
        <f t="shared" si="6"/>
        <v>23912.3741</v>
      </c>
      <c r="U19" s="71">
        <f t="shared" ref="U19:V19" si="57">R19*0.55</f>
        <v>13151.80576</v>
      </c>
      <c r="V19" s="71">
        <f t="shared" si="57"/>
        <v>0</v>
      </c>
      <c r="W19" s="68">
        <f t="shared" si="8"/>
        <v>13151.80576</v>
      </c>
      <c r="X19" s="71">
        <f t="shared" ref="X19:Y19" si="58">U19/0.95</f>
        <v>13844.00606</v>
      </c>
      <c r="Y19" s="71">
        <f t="shared" si="58"/>
        <v>0</v>
      </c>
      <c r="Z19" s="68">
        <f t="shared" si="10"/>
        <v>13844.00606</v>
      </c>
      <c r="AA19" s="71">
        <v>5973.9498</v>
      </c>
      <c r="AB19" s="71">
        <v>0.0</v>
      </c>
      <c r="AC19" s="68">
        <f t="shared" si="11"/>
        <v>5973.9498</v>
      </c>
      <c r="AD19" s="71">
        <f t="shared" ref="AD19:AE19" si="59">AA19*0.95</f>
        <v>5675.25231</v>
      </c>
      <c r="AE19" s="71">
        <f t="shared" si="59"/>
        <v>0</v>
      </c>
      <c r="AF19" s="68">
        <f t="shared" si="13"/>
        <v>5675.25231</v>
      </c>
      <c r="AG19" s="71">
        <v>213.0</v>
      </c>
      <c r="AH19" s="71">
        <v>0.0</v>
      </c>
      <c r="AI19" s="68">
        <f t="shared" si="14"/>
        <v>213</v>
      </c>
      <c r="AJ19" s="71">
        <f t="shared" ref="AJ19:AK19" si="60">AG19/1.05506</f>
        <v>201.884253</v>
      </c>
      <c r="AK19" s="71">
        <f t="shared" si="60"/>
        <v>0</v>
      </c>
      <c r="AL19" s="68">
        <f t="shared" si="16"/>
        <v>201.884253</v>
      </c>
    </row>
    <row r="20" ht="14.25" customHeight="1">
      <c r="B20" s="69">
        <v>45635.0</v>
      </c>
      <c r="C20" s="70"/>
      <c r="D20" s="70"/>
      <c r="E20" s="68">
        <f t="shared" si="1"/>
        <v>0</v>
      </c>
      <c r="F20" s="71">
        <v>859.0</v>
      </c>
      <c r="G20" s="72">
        <v>0.0</v>
      </c>
      <c r="H20" s="68">
        <f t="shared" si="17"/>
        <v>859</v>
      </c>
      <c r="I20" s="73">
        <f t="shared" ref="I20:J20" si="61">F20*55000*0.35/1000/0.55</f>
        <v>30065</v>
      </c>
      <c r="J20" s="73">
        <f t="shared" si="61"/>
        <v>0</v>
      </c>
      <c r="K20" s="68">
        <f t="shared" si="19"/>
        <v>30065</v>
      </c>
      <c r="L20" s="71">
        <v>26363.0</v>
      </c>
      <c r="M20" s="71">
        <v>0.0</v>
      </c>
      <c r="N20" s="68">
        <f t="shared" si="3"/>
        <v>26363</v>
      </c>
      <c r="O20" s="71">
        <v>3215.467625899281</v>
      </c>
      <c r="P20" s="71">
        <v>0.0</v>
      </c>
      <c r="Q20" s="68">
        <f t="shared" si="4"/>
        <v>3215.467626</v>
      </c>
      <c r="R20" s="71">
        <f t="shared" ref="R20:S20" si="62">L20-O20</f>
        <v>23147.53237</v>
      </c>
      <c r="S20" s="71">
        <f t="shared" si="62"/>
        <v>0</v>
      </c>
      <c r="T20" s="68">
        <f t="shared" si="6"/>
        <v>23147.53237</v>
      </c>
      <c r="U20" s="71">
        <f t="shared" ref="U20:V20" si="63">R20*0.55</f>
        <v>12731.14281</v>
      </c>
      <c r="V20" s="71">
        <f t="shared" si="63"/>
        <v>0</v>
      </c>
      <c r="W20" s="68">
        <f t="shared" si="8"/>
        <v>12731.14281</v>
      </c>
      <c r="X20" s="71">
        <f t="shared" ref="X20:Y20" si="64">U20/0.95</f>
        <v>13401.20295</v>
      </c>
      <c r="Y20" s="71">
        <f t="shared" si="64"/>
        <v>0</v>
      </c>
      <c r="Z20" s="68">
        <f t="shared" si="10"/>
        <v>13401.20295</v>
      </c>
      <c r="AA20" s="71">
        <v>7152.203</v>
      </c>
      <c r="AB20" s="71">
        <v>0.0</v>
      </c>
      <c r="AC20" s="68">
        <f t="shared" si="11"/>
        <v>7152.203</v>
      </c>
      <c r="AD20" s="71">
        <f t="shared" ref="AD20:AE20" si="65">AA20*0.95</f>
        <v>6794.59285</v>
      </c>
      <c r="AE20" s="71">
        <f t="shared" si="65"/>
        <v>0</v>
      </c>
      <c r="AF20" s="68">
        <f t="shared" si="13"/>
        <v>6794.59285</v>
      </c>
      <c r="AG20" s="71">
        <v>255.0</v>
      </c>
      <c r="AH20" s="71">
        <v>0.0</v>
      </c>
      <c r="AI20" s="68">
        <f t="shared" si="14"/>
        <v>255</v>
      </c>
      <c r="AJ20" s="71">
        <f t="shared" ref="AJ20:AK20" si="66">AG20/1.05506</f>
        <v>241.6924156</v>
      </c>
      <c r="AK20" s="71">
        <f t="shared" si="66"/>
        <v>0</v>
      </c>
      <c r="AL20" s="68">
        <f t="shared" si="16"/>
        <v>241.6924156</v>
      </c>
    </row>
    <row r="21" ht="14.25" customHeight="1">
      <c r="B21" s="69">
        <v>45636.0</v>
      </c>
      <c r="C21" s="70"/>
      <c r="D21" s="70"/>
      <c r="E21" s="68">
        <f t="shared" si="1"/>
        <v>0</v>
      </c>
      <c r="F21" s="71">
        <v>757.0</v>
      </c>
      <c r="G21" s="72">
        <v>0.0</v>
      </c>
      <c r="H21" s="68">
        <f t="shared" si="17"/>
        <v>757</v>
      </c>
      <c r="I21" s="73">
        <f t="shared" ref="I21:J21" si="67">F21*55000*0.35/1000/0.55</f>
        <v>26495</v>
      </c>
      <c r="J21" s="73">
        <f t="shared" si="67"/>
        <v>0</v>
      </c>
      <c r="K21" s="68">
        <f t="shared" si="19"/>
        <v>26495</v>
      </c>
      <c r="L21" s="71">
        <v>28141.0</v>
      </c>
      <c r="M21" s="71">
        <v>0.0</v>
      </c>
      <c r="N21" s="68">
        <f t="shared" si="3"/>
        <v>28141</v>
      </c>
      <c r="O21" s="71">
        <v>3339.2086330935253</v>
      </c>
      <c r="P21" s="71">
        <v>0.0</v>
      </c>
      <c r="Q21" s="68">
        <f t="shared" si="4"/>
        <v>3339.208633</v>
      </c>
      <c r="R21" s="71">
        <f t="shared" ref="R21:S21" si="68">L21-O21</f>
        <v>24801.79137</v>
      </c>
      <c r="S21" s="71">
        <f t="shared" si="68"/>
        <v>0</v>
      </c>
      <c r="T21" s="68">
        <f t="shared" si="6"/>
        <v>24801.79137</v>
      </c>
      <c r="U21" s="71">
        <f t="shared" ref="U21:V21" si="69">R21*0.55</f>
        <v>13640.98525</v>
      </c>
      <c r="V21" s="71">
        <f t="shared" si="69"/>
        <v>0</v>
      </c>
      <c r="W21" s="68">
        <f t="shared" si="8"/>
        <v>13640.98525</v>
      </c>
      <c r="X21" s="71">
        <f t="shared" ref="X21:Y21" si="70">U21/0.95</f>
        <v>14358.93184</v>
      </c>
      <c r="Y21" s="71">
        <f t="shared" si="70"/>
        <v>0</v>
      </c>
      <c r="Z21" s="68">
        <f t="shared" si="10"/>
        <v>14358.93184</v>
      </c>
      <c r="AA21" s="71">
        <v>7471.3325</v>
      </c>
      <c r="AB21" s="71">
        <v>0.0</v>
      </c>
      <c r="AC21" s="68">
        <f t="shared" si="11"/>
        <v>7471.3325</v>
      </c>
      <c r="AD21" s="71">
        <f t="shared" ref="AD21:AE21" si="71">AA21*0.95</f>
        <v>7097.765875</v>
      </c>
      <c r="AE21" s="71">
        <f t="shared" si="71"/>
        <v>0</v>
      </c>
      <c r="AF21" s="68">
        <f t="shared" si="13"/>
        <v>7097.765875</v>
      </c>
      <c r="AG21" s="71">
        <v>268.0</v>
      </c>
      <c r="AH21" s="71">
        <v>0.0</v>
      </c>
      <c r="AI21" s="68">
        <f t="shared" si="14"/>
        <v>268</v>
      </c>
      <c r="AJ21" s="71">
        <f t="shared" ref="AJ21:AK21" si="72">AG21/1.05506</f>
        <v>254.0139897</v>
      </c>
      <c r="AK21" s="71">
        <f t="shared" si="72"/>
        <v>0</v>
      </c>
      <c r="AL21" s="68">
        <f t="shared" si="16"/>
        <v>254.0139897</v>
      </c>
    </row>
    <row r="22" ht="14.25" customHeight="1">
      <c r="B22" s="69">
        <v>45637.0</v>
      </c>
      <c r="C22" s="70"/>
      <c r="D22" s="70"/>
      <c r="E22" s="68">
        <f t="shared" si="1"/>
        <v>0</v>
      </c>
      <c r="F22" s="71">
        <v>786.0</v>
      </c>
      <c r="G22" s="72">
        <v>0.0</v>
      </c>
      <c r="H22" s="68">
        <f t="shared" si="17"/>
        <v>786</v>
      </c>
      <c r="I22" s="73">
        <f t="shared" ref="I22:J22" si="73">F22*55000*0.35/1000/0.55</f>
        <v>27510</v>
      </c>
      <c r="J22" s="73">
        <f t="shared" si="73"/>
        <v>0</v>
      </c>
      <c r="K22" s="68">
        <f t="shared" si="19"/>
        <v>27510</v>
      </c>
      <c r="L22" s="71">
        <v>27490.0</v>
      </c>
      <c r="M22" s="71">
        <v>0.0</v>
      </c>
      <c r="N22" s="68">
        <f t="shared" si="3"/>
        <v>27490</v>
      </c>
      <c r="O22" s="71">
        <v>3270.5035971223024</v>
      </c>
      <c r="P22" s="71">
        <v>0.0</v>
      </c>
      <c r="Q22" s="68">
        <f t="shared" si="4"/>
        <v>3270.503597</v>
      </c>
      <c r="R22" s="71">
        <f t="shared" ref="R22:S22" si="74">L22-O22</f>
        <v>24219.4964</v>
      </c>
      <c r="S22" s="71">
        <f t="shared" si="74"/>
        <v>0</v>
      </c>
      <c r="T22" s="68">
        <f t="shared" si="6"/>
        <v>24219.4964</v>
      </c>
      <c r="U22" s="71">
        <f t="shared" ref="U22:V22" si="75">R22*0.55</f>
        <v>13320.72302</v>
      </c>
      <c r="V22" s="71">
        <f t="shared" si="75"/>
        <v>0</v>
      </c>
      <c r="W22" s="68">
        <f t="shared" si="8"/>
        <v>13320.72302</v>
      </c>
      <c r="X22" s="71">
        <f t="shared" ref="X22:Y22" si="76">U22/0.95</f>
        <v>14021.81371</v>
      </c>
      <c r="Y22" s="71">
        <f t="shared" si="76"/>
        <v>0</v>
      </c>
      <c r="Z22" s="68">
        <f t="shared" si="10"/>
        <v>14021.81371</v>
      </c>
      <c r="AA22" s="71">
        <v>7037.8309</v>
      </c>
      <c r="AB22" s="71">
        <v>0.0</v>
      </c>
      <c r="AC22" s="68">
        <f t="shared" si="11"/>
        <v>7037.8309</v>
      </c>
      <c r="AD22" s="71">
        <f t="shared" ref="AD22:AE22" si="77">AA22*0.95</f>
        <v>6685.939355</v>
      </c>
      <c r="AE22" s="71">
        <f t="shared" si="77"/>
        <v>0</v>
      </c>
      <c r="AF22" s="68">
        <f t="shared" si="13"/>
        <v>6685.939355</v>
      </c>
      <c r="AG22" s="71">
        <v>256.0</v>
      </c>
      <c r="AH22" s="71">
        <v>0.0</v>
      </c>
      <c r="AI22" s="68">
        <f t="shared" si="14"/>
        <v>256</v>
      </c>
      <c r="AJ22" s="71">
        <f t="shared" ref="AJ22:AK22" si="78">AG22/1.05506</f>
        <v>242.640229</v>
      </c>
      <c r="AK22" s="71">
        <f t="shared" si="78"/>
        <v>0</v>
      </c>
      <c r="AL22" s="68">
        <f t="shared" si="16"/>
        <v>242.640229</v>
      </c>
    </row>
    <row r="23" ht="14.25" customHeight="1">
      <c r="B23" s="69">
        <v>45638.0</v>
      </c>
      <c r="C23" s="70"/>
      <c r="D23" s="70"/>
      <c r="E23" s="68">
        <f t="shared" si="1"/>
        <v>0</v>
      </c>
      <c r="F23" s="71">
        <v>904.0</v>
      </c>
      <c r="G23" s="72">
        <v>0.0</v>
      </c>
      <c r="H23" s="68">
        <f t="shared" si="17"/>
        <v>904</v>
      </c>
      <c r="I23" s="73">
        <f t="shared" ref="I23:J23" si="79">F23*55000*0.35/1000/0.55</f>
        <v>31640</v>
      </c>
      <c r="J23" s="73">
        <f t="shared" si="79"/>
        <v>0</v>
      </c>
      <c r="K23" s="68">
        <f t="shared" si="19"/>
        <v>31640</v>
      </c>
      <c r="L23" s="71">
        <v>23806.0</v>
      </c>
      <c r="M23" s="71">
        <v>0.0</v>
      </c>
      <c r="N23" s="68">
        <f t="shared" si="3"/>
        <v>23806</v>
      </c>
      <c r="O23" s="71">
        <v>3221.5827338129498</v>
      </c>
      <c r="P23" s="71">
        <v>0.0</v>
      </c>
      <c r="Q23" s="68">
        <f t="shared" si="4"/>
        <v>3221.582734</v>
      </c>
      <c r="R23" s="71">
        <f t="shared" ref="R23:S23" si="80">L23-O23</f>
        <v>20584.41727</v>
      </c>
      <c r="S23" s="71">
        <f t="shared" si="80"/>
        <v>0</v>
      </c>
      <c r="T23" s="68">
        <f t="shared" si="6"/>
        <v>20584.41727</v>
      </c>
      <c r="U23" s="71">
        <f t="shared" ref="U23:V23" si="81">R23*0.55</f>
        <v>11321.4295</v>
      </c>
      <c r="V23" s="71">
        <f t="shared" si="81"/>
        <v>0</v>
      </c>
      <c r="W23" s="68">
        <f t="shared" si="8"/>
        <v>11321.4295</v>
      </c>
      <c r="X23" s="71">
        <f t="shared" ref="X23:Y23" si="82">U23/0.95</f>
        <v>11917.29421</v>
      </c>
      <c r="Y23" s="71">
        <f t="shared" si="82"/>
        <v>0</v>
      </c>
      <c r="Z23" s="68">
        <f t="shared" si="10"/>
        <v>11917.29421</v>
      </c>
      <c r="AA23" s="71">
        <v>5406.119</v>
      </c>
      <c r="AB23" s="71">
        <v>0.0</v>
      </c>
      <c r="AC23" s="68">
        <f t="shared" si="11"/>
        <v>5406.119</v>
      </c>
      <c r="AD23" s="71">
        <f t="shared" ref="AD23:AE23" si="83">AA23*0.95</f>
        <v>5135.81305</v>
      </c>
      <c r="AE23" s="71">
        <f t="shared" si="83"/>
        <v>0</v>
      </c>
      <c r="AF23" s="68">
        <f t="shared" si="13"/>
        <v>5135.81305</v>
      </c>
      <c r="AG23" s="71">
        <v>197.0</v>
      </c>
      <c r="AH23" s="71">
        <v>0.0</v>
      </c>
      <c r="AI23" s="68">
        <f t="shared" si="14"/>
        <v>197</v>
      </c>
      <c r="AJ23" s="71">
        <f t="shared" ref="AJ23:AK23" si="84">AG23/1.05506</f>
        <v>186.7192387</v>
      </c>
      <c r="AK23" s="71">
        <f t="shared" si="84"/>
        <v>0</v>
      </c>
      <c r="AL23" s="68">
        <f t="shared" si="16"/>
        <v>186.7192387</v>
      </c>
    </row>
    <row r="24" ht="14.25" customHeight="1">
      <c r="B24" s="69">
        <v>45639.0</v>
      </c>
      <c r="C24" s="70"/>
      <c r="D24" s="70"/>
      <c r="E24" s="68">
        <f t="shared" si="1"/>
        <v>0</v>
      </c>
      <c r="F24" s="71">
        <v>747.0</v>
      </c>
      <c r="G24" s="72">
        <v>0.0</v>
      </c>
      <c r="H24" s="68">
        <f t="shared" si="17"/>
        <v>747</v>
      </c>
      <c r="I24" s="73">
        <f t="shared" ref="I24:J24" si="85">F24*55000*0.35/1000/0.55</f>
        <v>26145</v>
      </c>
      <c r="J24" s="73">
        <f t="shared" si="85"/>
        <v>0</v>
      </c>
      <c r="K24" s="68">
        <f t="shared" si="19"/>
        <v>26145</v>
      </c>
      <c r="L24" s="71">
        <v>22403.0</v>
      </c>
      <c r="M24" s="71">
        <v>0.0</v>
      </c>
      <c r="N24" s="68">
        <f t="shared" si="3"/>
        <v>22403</v>
      </c>
      <c r="O24" s="71">
        <v>3199.2805755395684</v>
      </c>
      <c r="P24" s="71">
        <v>0.0</v>
      </c>
      <c r="Q24" s="68">
        <f t="shared" si="4"/>
        <v>3199.280576</v>
      </c>
      <c r="R24" s="71">
        <f t="shared" ref="R24:S24" si="86">L24-O24</f>
        <v>19203.71942</v>
      </c>
      <c r="S24" s="71">
        <f t="shared" si="86"/>
        <v>0</v>
      </c>
      <c r="T24" s="68">
        <f t="shared" si="6"/>
        <v>19203.71942</v>
      </c>
      <c r="U24" s="71">
        <f t="shared" ref="U24:V24" si="87">R24*0.55</f>
        <v>10562.04568</v>
      </c>
      <c r="V24" s="71">
        <f t="shared" si="87"/>
        <v>0</v>
      </c>
      <c r="W24" s="68">
        <f t="shared" si="8"/>
        <v>10562.04568</v>
      </c>
      <c r="X24" s="71">
        <f t="shared" ref="X24:Y24" si="88">U24/0.95</f>
        <v>11117.94282</v>
      </c>
      <c r="Y24" s="71">
        <f t="shared" si="88"/>
        <v>0</v>
      </c>
      <c r="Z24" s="68">
        <f t="shared" si="10"/>
        <v>11117.94282</v>
      </c>
      <c r="AA24" s="71">
        <v>6949.8266</v>
      </c>
      <c r="AB24" s="71">
        <v>0.0</v>
      </c>
      <c r="AC24" s="68">
        <f t="shared" si="11"/>
        <v>6949.8266</v>
      </c>
      <c r="AD24" s="71">
        <f t="shared" ref="AD24:AE24" si="89">AA24*0.95</f>
        <v>6602.33527</v>
      </c>
      <c r="AE24" s="71">
        <f t="shared" si="89"/>
        <v>0</v>
      </c>
      <c r="AF24" s="68">
        <f t="shared" si="13"/>
        <v>6602.33527</v>
      </c>
      <c r="AG24" s="71">
        <v>252.0</v>
      </c>
      <c r="AH24" s="71">
        <v>0.0</v>
      </c>
      <c r="AI24" s="68">
        <f t="shared" si="14"/>
        <v>252</v>
      </c>
      <c r="AJ24" s="71">
        <f t="shared" ref="AJ24:AK24" si="90">AG24/1.05506</f>
        <v>238.8489754</v>
      </c>
      <c r="AK24" s="71">
        <f t="shared" si="90"/>
        <v>0</v>
      </c>
      <c r="AL24" s="68">
        <f t="shared" si="16"/>
        <v>238.8489754</v>
      </c>
    </row>
    <row r="25" ht="14.25" customHeight="1">
      <c r="B25" s="69">
        <v>45640.0</v>
      </c>
      <c r="C25" s="70"/>
      <c r="D25" s="70"/>
      <c r="E25" s="68">
        <f t="shared" si="1"/>
        <v>0</v>
      </c>
      <c r="F25" s="71">
        <v>937.0</v>
      </c>
      <c r="G25" s="72">
        <v>0.0</v>
      </c>
      <c r="H25" s="68">
        <f t="shared" si="17"/>
        <v>937</v>
      </c>
      <c r="I25" s="73">
        <f t="shared" ref="I25:J25" si="91">F25*55000*0.35/1000/0.55</f>
        <v>32795</v>
      </c>
      <c r="J25" s="73">
        <f t="shared" si="91"/>
        <v>0</v>
      </c>
      <c r="K25" s="68">
        <f t="shared" si="19"/>
        <v>32795</v>
      </c>
      <c r="L25" s="71">
        <v>21464.0</v>
      </c>
      <c r="M25" s="71">
        <v>0.0</v>
      </c>
      <c r="N25" s="68">
        <f t="shared" si="3"/>
        <v>21464</v>
      </c>
      <c r="O25" s="71">
        <v>3130.2158273381297</v>
      </c>
      <c r="P25" s="71">
        <v>0.0</v>
      </c>
      <c r="Q25" s="68">
        <f t="shared" si="4"/>
        <v>3130.215827</v>
      </c>
      <c r="R25" s="71">
        <f t="shared" ref="R25:S25" si="92">L25-O25</f>
        <v>18333.78417</v>
      </c>
      <c r="S25" s="71">
        <f t="shared" si="92"/>
        <v>0</v>
      </c>
      <c r="T25" s="68">
        <f t="shared" si="6"/>
        <v>18333.78417</v>
      </c>
      <c r="U25" s="71">
        <f t="shared" ref="U25:V25" si="93">R25*0.55</f>
        <v>10083.58129</v>
      </c>
      <c r="V25" s="71">
        <f t="shared" si="93"/>
        <v>0</v>
      </c>
      <c r="W25" s="68">
        <f t="shared" si="8"/>
        <v>10083.58129</v>
      </c>
      <c r="X25" s="71">
        <f t="shared" ref="X25:Y25" si="94">U25/0.95</f>
        <v>10614.2961</v>
      </c>
      <c r="Y25" s="71">
        <f t="shared" si="94"/>
        <v>0</v>
      </c>
      <c r="Z25" s="68">
        <f t="shared" si="10"/>
        <v>10614.2961</v>
      </c>
      <c r="AA25" s="71">
        <v>2930.2244</v>
      </c>
      <c r="AB25" s="71">
        <v>0.0</v>
      </c>
      <c r="AC25" s="68">
        <f t="shared" si="11"/>
        <v>2930.2244</v>
      </c>
      <c r="AD25" s="71">
        <f t="shared" ref="AD25:AE25" si="95">AA25*0.95</f>
        <v>2783.71318</v>
      </c>
      <c r="AE25" s="71">
        <f t="shared" si="95"/>
        <v>0</v>
      </c>
      <c r="AF25" s="68">
        <f t="shared" si="13"/>
        <v>2783.71318</v>
      </c>
      <c r="AG25" s="71">
        <v>105.0</v>
      </c>
      <c r="AH25" s="71">
        <v>0.0</v>
      </c>
      <c r="AI25" s="68">
        <f t="shared" si="14"/>
        <v>105</v>
      </c>
      <c r="AJ25" s="71">
        <f t="shared" ref="AJ25:AK25" si="96">AG25/1.05506</f>
        <v>99.52040642</v>
      </c>
      <c r="AK25" s="71">
        <f t="shared" si="96"/>
        <v>0</v>
      </c>
      <c r="AL25" s="68">
        <f t="shared" si="16"/>
        <v>99.52040642</v>
      </c>
    </row>
    <row r="26" ht="14.25" customHeight="1">
      <c r="B26" s="69">
        <v>45641.0</v>
      </c>
      <c r="C26" s="70"/>
      <c r="D26" s="70"/>
      <c r="E26" s="68">
        <f t="shared" si="1"/>
        <v>0</v>
      </c>
      <c r="F26" s="71">
        <v>297.0</v>
      </c>
      <c r="G26" s="72">
        <v>0.0</v>
      </c>
      <c r="H26" s="68">
        <f t="shared" si="17"/>
        <v>297</v>
      </c>
      <c r="I26" s="73">
        <f t="shared" ref="I26:J26" si="97">F26*55000*0.35/1000/0.55</f>
        <v>10395</v>
      </c>
      <c r="J26" s="73">
        <f t="shared" si="97"/>
        <v>0</v>
      </c>
      <c r="K26" s="68">
        <f t="shared" si="19"/>
        <v>10395</v>
      </c>
      <c r="L26" s="71">
        <v>15547.0</v>
      </c>
      <c r="M26" s="71">
        <v>0.0</v>
      </c>
      <c r="N26" s="68">
        <f t="shared" si="3"/>
        <v>15547</v>
      </c>
      <c r="O26" s="71">
        <v>2235.251798561151</v>
      </c>
      <c r="P26" s="71">
        <v>0.0</v>
      </c>
      <c r="Q26" s="68">
        <f t="shared" si="4"/>
        <v>2235.251799</v>
      </c>
      <c r="R26" s="71">
        <f t="shared" ref="R26:S26" si="98">L26-O26</f>
        <v>13311.7482</v>
      </c>
      <c r="S26" s="71">
        <f t="shared" si="98"/>
        <v>0</v>
      </c>
      <c r="T26" s="68">
        <f t="shared" si="6"/>
        <v>13311.7482</v>
      </c>
      <c r="U26" s="71">
        <f t="shared" ref="U26:V26" si="99">R26*0.55</f>
        <v>7321.461511</v>
      </c>
      <c r="V26" s="71">
        <f t="shared" si="99"/>
        <v>0</v>
      </c>
      <c r="W26" s="68">
        <f t="shared" si="8"/>
        <v>7321.461511</v>
      </c>
      <c r="X26" s="71">
        <f t="shared" ref="X26:Y26" si="100">U26/0.95</f>
        <v>7706.80159</v>
      </c>
      <c r="Y26" s="71">
        <f t="shared" si="100"/>
        <v>0</v>
      </c>
      <c r="Z26" s="68">
        <f t="shared" si="10"/>
        <v>7706.80159</v>
      </c>
      <c r="AA26" s="71">
        <v>1.8788</v>
      </c>
      <c r="AB26" s="71">
        <v>0.0</v>
      </c>
      <c r="AC26" s="68">
        <f t="shared" si="11"/>
        <v>1.8788</v>
      </c>
      <c r="AD26" s="71">
        <f t="shared" ref="AD26:AE26" si="101">AA26*0.95</f>
        <v>1.78486</v>
      </c>
      <c r="AE26" s="71">
        <f t="shared" si="101"/>
        <v>0</v>
      </c>
      <c r="AF26" s="68">
        <f t="shared" si="13"/>
        <v>1.78486</v>
      </c>
      <c r="AG26" s="71">
        <v>0.0</v>
      </c>
      <c r="AH26" s="71">
        <v>0.0</v>
      </c>
      <c r="AI26" s="68">
        <f t="shared" si="14"/>
        <v>0</v>
      </c>
      <c r="AJ26" s="71">
        <f t="shared" ref="AJ26:AK26" si="102">AG26/1.05506</f>
        <v>0</v>
      </c>
      <c r="AK26" s="71">
        <f t="shared" si="102"/>
        <v>0</v>
      </c>
      <c r="AL26" s="68">
        <f t="shared" si="16"/>
        <v>0</v>
      </c>
    </row>
    <row r="27" ht="14.25" customHeight="1">
      <c r="B27" s="69">
        <v>45642.0</v>
      </c>
      <c r="C27" s="70"/>
      <c r="D27" s="70"/>
      <c r="E27" s="68">
        <f t="shared" si="1"/>
        <v>0</v>
      </c>
      <c r="F27" s="71">
        <v>942.0</v>
      </c>
      <c r="G27" s="72">
        <v>0.0</v>
      </c>
      <c r="H27" s="68">
        <f t="shared" si="17"/>
        <v>942</v>
      </c>
      <c r="I27" s="73">
        <f t="shared" ref="I27:J27" si="103">F27*55000*0.35/1000/0.55</f>
        <v>32970</v>
      </c>
      <c r="J27" s="73">
        <f t="shared" si="103"/>
        <v>0</v>
      </c>
      <c r="K27" s="68">
        <f t="shared" si="19"/>
        <v>32970</v>
      </c>
      <c r="L27" s="71">
        <v>8763.0</v>
      </c>
      <c r="M27" s="71">
        <v>0.0</v>
      </c>
      <c r="N27" s="68">
        <f t="shared" si="3"/>
        <v>8763</v>
      </c>
      <c r="O27" s="71">
        <v>1920.8633093525182</v>
      </c>
      <c r="P27" s="71">
        <v>0.0</v>
      </c>
      <c r="Q27" s="68">
        <f t="shared" si="4"/>
        <v>1920.863309</v>
      </c>
      <c r="R27" s="71">
        <f t="shared" ref="R27:S27" si="104">L27-O27</f>
        <v>6842.136691</v>
      </c>
      <c r="S27" s="71">
        <f t="shared" si="104"/>
        <v>0</v>
      </c>
      <c r="T27" s="68">
        <f t="shared" si="6"/>
        <v>6842.136691</v>
      </c>
      <c r="U27" s="71">
        <f t="shared" ref="U27:V27" si="105">R27*0.55</f>
        <v>3763.17518</v>
      </c>
      <c r="V27" s="71">
        <f t="shared" si="105"/>
        <v>0</v>
      </c>
      <c r="W27" s="68">
        <f t="shared" si="8"/>
        <v>3763.17518</v>
      </c>
      <c r="X27" s="71">
        <f t="shared" ref="X27:Y27" si="106">U27/0.95</f>
        <v>3961.237031</v>
      </c>
      <c r="Y27" s="71">
        <f t="shared" si="106"/>
        <v>0</v>
      </c>
      <c r="Z27" s="68">
        <f t="shared" si="10"/>
        <v>3961.237031</v>
      </c>
      <c r="AA27" s="71">
        <v>0.0</v>
      </c>
      <c r="AB27" s="71">
        <v>0.0</v>
      </c>
      <c r="AC27" s="68">
        <f t="shared" si="11"/>
        <v>0</v>
      </c>
      <c r="AD27" s="71">
        <f t="shared" ref="AD27:AE27" si="107">AA27*0.95</f>
        <v>0</v>
      </c>
      <c r="AE27" s="71">
        <f t="shared" si="107"/>
        <v>0</v>
      </c>
      <c r="AF27" s="68">
        <f t="shared" si="13"/>
        <v>0</v>
      </c>
      <c r="AG27" s="71">
        <v>0.0</v>
      </c>
      <c r="AH27" s="71">
        <v>0.0</v>
      </c>
      <c r="AI27" s="68">
        <f t="shared" si="14"/>
        <v>0</v>
      </c>
      <c r="AJ27" s="71">
        <f t="shared" ref="AJ27:AK27" si="108">AG27/1.05506</f>
        <v>0</v>
      </c>
      <c r="AK27" s="71">
        <f t="shared" si="108"/>
        <v>0</v>
      </c>
      <c r="AL27" s="68">
        <f t="shared" si="16"/>
        <v>0</v>
      </c>
    </row>
    <row r="28" ht="14.25" customHeight="1">
      <c r="B28" s="69">
        <v>45643.0</v>
      </c>
      <c r="C28" s="70"/>
      <c r="D28" s="70"/>
      <c r="E28" s="68">
        <f t="shared" si="1"/>
        <v>0</v>
      </c>
      <c r="F28" s="71">
        <v>1396.0</v>
      </c>
      <c r="G28" s="72">
        <v>0.0</v>
      </c>
      <c r="H28" s="68">
        <f t="shared" si="17"/>
        <v>1396</v>
      </c>
      <c r="I28" s="73">
        <f t="shared" ref="I28:J28" si="109">F28*55000*0.35/1000/0.55</f>
        <v>48860</v>
      </c>
      <c r="J28" s="73">
        <f t="shared" si="109"/>
        <v>0</v>
      </c>
      <c r="K28" s="68">
        <f t="shared" si="19"/>
        <v>48860</v>
      </c>
      <c r="L28" s="71">
        <v>8209.0</v>
      </c>
      <c r="M28" s="71">
        <v>0.0</v>
      </c>
      <c r="N28" s="68">
        <f t="shared" si="3"/>
        <v>8209</v>
      </c>
      <c r="O28" s="71">
        <v>2043.5251798561153</v>
      </c>
      <c r="P28" s="71">
        <v>0.0</v>
      </c>
      <c r="Q28" s="68">
        <f t="shared" si="4"/>
        <v>2043.52518</v>
      </c>
      <c r="R28" s="71">
        <f t="shared" ref="R28:S28" si="110">L28-O28</f>
        <v>6165.47482</v>
      </c>
      <c r="S28" s="71">
        <f t="shared" si="110"/>
        <v>0</v>
      </c>
      <c r="T28" s="68">
        <f t="shared" si="6"/>
        <v>6165.47482</v>
      </c>
      <c r="U28" s="71">
        <f t="shared" ref="U28:V28" si="111">R28*0.55</f>
        <v>3391.011151</v>
      </c>
      <c r="V28" s="71">
        <f t="shared" si="111"/>
        <v>0</v>
      </c>
      <c r="W28" s="68">
        <f t="shared" si="8"/>
        <v>3391.011151</v>
      </c>
      <c r="X28" s="71">
        <f t="shared" ref="X28:Y28" si="112">U28/0.95</f>
        <v>3569.485422</v>
      </c>
      <c r="Y28" s="71">
        <f t="shared" si="112"/>
        <v>0</v>
      </c>
      <c r="Z28" s="68">
        <f t="shared" si="10"/>
        <v>3569.485422</v>
      </c>
      <c r="AA28" s="71">
        <v>0.0</v>
      </c>
      <c r="AB28" s="71">
        <v>0.0</v>
      </c>
      <c r="AC28" s="68">
        <f t="shared" si="11"/>
        <v>0</v>
      </c>
      <c r="AD28" s="71">
        <f t="shared" ref="AD28:AE28" si="113">AA28*0.95</f>
        <v>0</v>
      </c>
      <c r="AE28" s="71">
        <f t="shared" si="113"/>
        <v>0</v>
      </c>
      <c r="AF28" s="68">
        <f t="shared" si="13"/>
        <v>0</v>
      </c>
      <c r="AG28" s="71">
        <v>0.0</v>
      </c>
      <c r="AH28" s="71">
        <v>0.0</v>
      </c>
      <c r="AI28" s="68">
        <f t="shared" si="14"/>
        <v>0</v>
      </c>
      <c r="AJ28" s="71">
        <f t="shared" ref="AJ28:AK28" si="114">AG28/1.05506</f>
        <v>0</v>
      </c>
      <c r="AK28" s="71">
        <f t="shared" si="114"/>
        <v>0</v>
      </c>
      <c r="AL28" s="68">
        <f t="shared" si="16"/>
        <v>0</v>
      </c>
    </row>
    <row r="29" ht="14.25" customHeight="1">
      <c r="B29" s="69">
        <v>45644.0</v>
      </c>
      <c r="C29" s="70"/>
      <c r="D29" s="70"/>
      <c r="E29" s="68">
        <f t="shared" si="1"/>
        <v>0</v>
      </c>
      <c r="F29" s="71">
        <v>855.0</v>
      </c>
      <c r="G29" s="72">
        <v>0.0</v>
      </c>
      <c r="H29" s="68">
        <f t="shared" si="17"/>
        <v>855</v>
      </c>
      <c r="I29" s="73">
        <f t="shared" ref="I29:J29" si="115">F29*55000*0.35/1000/0.55</f>
        <v>29925</v>
      </c>
      <c r="J29" s="73">
        <f t="shared" si="115"/>
        <v>0</v>
      </c>
      <c r="K29" s="68">
        <f t="shared" si="19"/>
        <v>29925</v>
      </c>
      <c r="L29" s="71">
        <v>14298.0</v>
      </c>
      <c r="M29" s="71">
        <v>0.0</v>
      </c>
      <c r="N29" s="68">
        <f t="shared" si="3"/>
        <v>14298</v>
      </c>
      <c r="O29" s="71">
        <v>2363.3093525179856</v>
      </c>
      <c r="P29" s="71">
        <v>0.0</v>
      </c>
      <c r="Q29" s="68">
        <f t="shared" si="4"/>
        <v>2363.309353</v>
      </c>
      <c r="R29" s="71">
        <f t="shared" ref="R29:S29" si="116">L29-O29</f>
        <v>11934.69065</v>
      </c>
      <c r="S29" s="71">
        <f t="shared" si="116"/>
        <v>0</v>
      </c>
      <c r="T29" s="68">
        <f t="shared" si="6"/>
        <v>11934.69065</v>
      </c>
      <c r="U29" s="71">
        <f t="shared" ref="U29:V29" si="117">R29*0.55</f>
        <v>6564.079856</v>
      </c>
      <c r="V29" s="71">
        <f t="shared" si="117"/>
        <v>0</v>
      </c>
      <c r="W29" s="68">
        <f t="shared" si="8"/>
        <v>6564.079856</v>
      </c>
      <c r="X29" s="71">
        <f t="shared" ref="X29:Y29" si="118">U29/0.95</f>
        <v>6909.557743</v>
      </c>
      <c r="Y29" s="71">
        <f t="shared" si="118"/>
        <v>0</v>
      </c>
      <c r="Z29" s="68">
        <f t="shared" si="10"/>
        <v>6909.557743</v>
      </c>
      <c r="AA29" s="71">
        <v>2179.133</v>
      </c>
      <c r="AB29" s="71">
        <v>0.0</v>
      </c>
      <c r="AC29" s="68">
        <f t="shared" si="11"/>
        <v>2179.133</v>
      </c>
      <c r="AD29" s="71">
        <f t="shared" ref="AD29:AE29" si="119">AA29*0.95</f>
        <v>2070.17635</v>
      </c>
      <c r="AE29" s="71">
        <f t="shared" si="119"/>
        <v>0</v>
      </c>
      <c r="AF29" s="68">
        <f t="shared" si="13"/>
        <v>2070.17635</v>
      </c>
      <c r="AG29" s="71">
        <v>78.0</v>
      </c>
      <c r="AH29" s="71">
        <v>0.0</v>
      </c>
      <c r="AI29" s="68">
        <f t="shared" si="14"/>
        <v>78</v>
      </c>
      <c r="AJ29" s="71">
        <f t="shared" ref="AJ29:AK29" si="120">AG29/1.05506</f>
        <v>73.92944477</v>
      </c>
      <c r="AK29" s="71">
        <f t="shared" si="120"/>
        <v>0</v>
      </c>
      <c r="AL29" s="68">
        <f t="shared" si="16"/>
        <v>73.92944477</v>
      </c>
    </row>
    <row r="30" ht="14.25" customHeight="1">
      <c r="B30" s="69">
        <v>45645.0</v>
      </c>
      <c r="C30" s="70"/>
      <c r="D30" s="70"/>
      <c r="E30" s="68">
        <f t="shared" si="1"/>
        <v>0</v>
      </c>
      <c r="F30" s="71">
        <v>995.0</v>
      </c>
      <c r="G30" s="72">
        <v>0.0</v>
      </c>
      <c r="H30" s="68">
        <f t="shared" si="17"/>
        <v>995</v>
      </c>
      <c r="I30" s="73">
        <f t="shared" ref="I30:J30" si="121">F30*55000*0.35/1000/0.55</f>
        <v>34825</v>
      </c>
      <c r="J30" s="73">
        <f t="shared" si="121"/>
        <v>0</v>
      </c>
      <c r="K30" s="68">
        <f t="shared" si="19"/>
        <v>34825</v>
      </c>
      <c r="L30" s="71">
        <v>21404.0</v>
      </c>
      <c r="M30" s="71">
        <v>0.0</v>
      </c>
      <c r="N30" s="68">
        <f t="shared" si="3"/>
        <v>21404</v>
      </c>
      <c r="O30" s="71">
        <v>3257.5539568345325</v>
      </c>
      <c r="P30" s="71">
        <v>0.0</v>
      </c>
      <c r="Q30" s="68">
        <f t="shared" si="4"/>
        <v>3257.553957</v>
      </c>
      <c r="R30" s="71">
        <f t="shared" ref="R30:S30" si="122">L30-O30</f>
        <v>18146.44604</v>
      </c>
      <c r="S30" s="71">
        <f t="shared" si="122"/>
        <v>0</v>
      </c>
      <c r="T30" s="68">
        <f t="shared" si="6"/>
        <v>18146.44604</v>
      </c>
      <c r="U30" s="71">
        <f t="shared" ref="U30:V30" si="123">R30*0.55</f>
        <v>9980.545324</v>
      </c>
      <c r="V30" s="71">
        <f t="shared" si="123"/>
        <v>0</v>
      </c>
      <c r="W30" s="68">
        <f t="shared" si="8"/>
        <v>9980.545324</v>
      </c>
      <c r="X30" s="71">
        <f t="shared" ref="X30:Y30" si="124">U30/0.95</f>
        <v>10505.83718</v>
      </c>
      <c r="Y30" s="71">
        <f t="shared" si="124"/>
        <v>0</v>
      </c>
      <c r="Z30" s="68">
        <f t="shared" si="10"/>
        <v>10505.83718</v>
      </c>
      <c r="AA30" s="71">
        <v>4438.7406</v>
      </c>
      <c r="AB30" s="71">
        <v>0.0</v>
      </c>
      <c r="AC30" s="68">
        <f t="shared" si="11"/>
        <v>4438.7406</v>
      </c>
      <c r="AD30" s="71">
        <f t="shared" ref="AD30:AE30" si="125">AA30*0.95</f>
        <v>4216.80357</v>
      </c>
      <c r="AE30" s="71">
        <f t="shared" si="125"/>
        <v>0</v>
      </c>
      <c r="AF30" s="68">
        <f t="shared" si="13"/>
        <v>4216.80357</v>
      </c>
      <c r="AG30" s="71">
        <v>158.0</v>
      </c>
      <c r="AH30" s="71">
        <v>0.0</v>
      </c>
      <c r="AI30" s="68">
        <f t="shared" si="14"/>
        <v>158</v>
      </c>
      <c r="AJ30" s="71">
        <f t="shared" ref="AJ30:AK30" si="126">AG30/1.05506</f>
        <v>149.7545163</v>
      </c>
      <c r="AK30" s="71">
        <f t="shared" si="126"/>
        <v>0</v>
      </c>
      <c r="AL30" s="68">
        <f t="shared" si="16"/>
        <v>149.7545163</v>
      </c>
    </row>
    <row r="31" ht="14.25" customHeight="1">
      <c r="B31" s="69">
        <v>45646.0</v>
      </c>
      <c r="C31" s="70"/>
      <c r="D31" s="70"/>
      <c r="E31" s="68">
        <f t="shared" si="1"/>
        <v>0</v>
      </c>
      <c r="F31" s="71">
        <v>781.0</v>
      </c>
      <c r="G31" s="72">
        <v>0.0</v>
      </c>
      <c r="H31" s="68">
        <f t="shared" si="17"/>
        <v>781</v>
      </c>
      <c r="I31" s="73">
        <f t="shared" ref="I31:J31" si="127">F31*55000*0.35/1000/0.55</f>
        <v>27335</v>
      </c>
      <c r="J31" s="73">
        <f t="shared" si="127"/>
        <v>0</v>
      </c>
      <c r="K31" s="68">
        <f t="shared" si="19"/>
        <v>27335</v>
      </c>
      <c r="L31" s="71">
        <v>21583.0</v>
      </c>
      <c r="M31" s="71">
        <v>0.0</v>
      </c>
      <c r="N31" s="68">
        <f t="shared" si="3"/>
        <v>21583</v>
      </c>
      <c r="O31" s="71">
        <v>3414.7482014388493</v>
      </c>
      <c r="P31" s="71">
        <v>0.0</v>
      </c>
      <c r="Q31" s="68">
        <f t="shared" si="4"/>
        <v>3414.748201</v>
      </c>
      <c r="R31" s="71">
        <f t="shared" ref="R31:S31" si="128">L31-O31</f>
        <v>18168.2518</v>
      </c>
      <c r="S31" s="71">
        <f t="shared" si="128"/>
        <v>0</v>
      </c>
      <c r="T31" s="68">
        <f t="shared" si="6"/>
        <v>18168.2518</v>
      </c>
      <c r="U31" s="71">
        <f t="shared" ref="U31:V31" si="129">R31*0.55</f>
        <v>9992.538489</v>
      </c>
      <c r="V31" s="71">
        <f t="shared" si="129"/>
        <v>0</v>
      </c>
      <c r="W31" s="68">
        <f t="shared" si="8"/>
        <v>9992.538489</v>
      </c>
      <c r="X31" s="71">
        <f t="shared" ref="X31:Y31" si="130">U31/0.95</f>
        <v>10518.46157</v>
      </c>
      <c r="Y31" s="71">
        <f t="shared" si="130"/>
        <v>0</v>
      </c>
      <c r="Z31" s="68">
        <f t="shared" si="10"/>
        <v>10518.46157</v>
      </c>
      <c r="AA31" s="71">
        <v>6086.6334</v>
      </c>
      <c r="AB31" s="71">
        <v>0.0</v>
      </c>
      <c r="AC31" s="68">
        <f t="shared" si="11"/>
        <v>6086.6334</v>
      </c>
      <c r="AD31" s="71">
        <f t="shared" ref="AD31:AE31" si="131">AA31*0.95</f>
        <v>5782.30173</v>
      </c>
      <c r="AE31" s="71">
        <f t="shared" si="131"/>
        <v>0</v>
      </c>
      <c r="AF31" s="68">
        <f t="shared" si="13"/>
        <v>5782.30173</v>
      </c>
      <c r="AG31" s="71">
        <v>216.0</v>
      </c>
      <c r="AH31" s="71">
        <v>0.0</v>
      </c>
      <c r="AI31" s="68">
        <f t="shared" si="14"/>
        <v>216</v>
      </c>
      <c r="AJ31" s="71">
        <f t="shared" ref="AJ31:AK31" si="132">AG31/1.05506</f>
        <v>204.7276932</v>
      </c>
      <c r="AK31" s="71">
        <f t="shared" si="132"/>
        <v>0</v>
      </c>
      <c r="AL31" s="68">
        <f t="shared" si="16"/>
        <v>204.7276932</v>
      </c>
    </row>
    <row r="32" ht="14.25" customHeight="1">
      <c r="B32" s="69">
        <v>45647.0</v>
      </c>
      <c r="C32" s="70"/>
      <c r="D32" s="70"/>
      <c r="E32" s="68">
        <f t="shared" si="1"/>
        <v>0</v>
      </c>
      <c r="F32" s="71">
        <v>1010.0</v>
      </c>
      <c r="G32" s="72">
        <v>0.0</v>
      </c>
      <c r="H32" s="68">
        <f t="shared" si="17"/>
        <v>1010</v>
      </c>
      <c r="I32" s="73">
        <f t="shared" ref="I32:J32" si="133">F32*55000*0.35/1000/0.55</f>
        <v>35350</v>
      </c>
      <c r="J32" s="73">
        <f t="shared" si="133"/>
        <v>0</v>
      </c>
      <c r="K32" s="68">
        <f t="shared" si="19"/>
        <v>35350</v>
      </c>
      <c r="L32" s="71">
        <v>22436.0</v>
      </c>
      <c r="M32" s="71">
        <v>0.0</v>
      </c>
      <c r="N32" s="68">
        <f t="shared" si="3"/>
        <v>22436</v>
      </c>
      <c r="O32" s="71">
        <v>3434.8920863309354</v>
      </c>
      <c r="P32" s="71">
        <v>0.0</v>
      </c>
      <c r="Q32" s="68">
        <f t="shared" si="4"/>
        <v>3434.892086</v>
      </c>
      <c r="R32" s="71">
        <f t="shared" ref="R32:S32" si="134">L32-O32</f>
        <v>19001.10791</v>
      </c>
      <c r="S32" s="71">
        <f t="shared" si="134"/>
        <v>0</v>
      </c>
      <c r="T32" s="68">
        <f t="shared" si="6"/>
        <v>19001.10791</v>
      </c>
      <c r="U32" s="71">
        <f t="shared" ref="U32:V32" si="135">R32*0.55</f>
        <v>10450.60935</v>
      </c>
      <c r="V32" s="71">
        <f t="shared" si="135"/>
        <v>0</v>
      </c>
      <c r="W32" s="68">
        <f t="shared" si="8"/>
        <v>10450.60935</v>
      </c>
      <c r="X32" s="71">
        <f t="shared" ref="X32:Y32" si="136">U32/0.95</f>
        <v>11000.64142</v>
      </c>
      <c r="Y32" s="71">
        <f t="shared" si="136"/>
        <v>0</v>
      </c>
      <c r="Z32" s="68">
        <f t="shared" si="10"/>
        <v>11000.64142</v>
      </c>
      <c r="AA32" s="71">
        <v>6101.6691</v>
      </c>
      <c r="AB32" s="71">
        <v>0.0</v>
      </c>
      <c r="AC32" s="68">
        <f t="shared" si="11"/>
        <v>6101.6691</v>
      </c>
      <c r="AD32" s="71">
        <f t="shared" ref="AD32:AE32" si="137">AA32*0.95</f>
        <v>5796.585645</v>
      </c>
      <c r="AE32" s="71">
        <f t="shared" si="137"/>
        <v>0</v>
      </c>
      <c r="AF32" s="68">
        <f t="shared" si="13"/>
        <v>5796.585645</v>
      </c>
      <c r="AG32" s="71">
        <v>216.0</v>
      </c>
      <c r="AH32" s="71">
        <v>0.0</v>
      </c>
      <c r="AI32" s="68">
        <f t="shared" si="14"/>
        <v>216</v>
      </c>
      <c r="AJ32" s="71">
        <f t="shared" ref="AJ32:AK32" si="138">AG32/1.05506</f>
        <v>204.7276932</v>
      </c>
      <c r="AK32" s="71">
        <f t="shared" si="138"/>
        <v>0</v>
      </c>
      <c r="AL32" s="68">
        <f t="shared" si="16"/>
        <v>204.7276932</v>
      </c>
    </row>
    <row r="33" ht="14.25" customHeight="1">
      <c r="B33" s="69">
        <v>45648.0</v>
      </c>
      <c r="C33" s="70"/>
      <c r="D33" s="70"/>
      <c r="E33" s="68">
        <f t="shared" si="1"/>
        <v>0</v>
      </c>
      <c r="F33" s="71">
        <v>226.0</v>
      </c>
      <c r="G33" s="72">
        <v>0.0</v>
      </c>
      <c r="H33" s="68">
        <f t="shared" si="17"/>
        <v>226</v>
      </c>
      <c r="I33" s="73">
        <f t="shared" ref="I33:J33" si="139">F33*55000*0.35/1000/0.55</f>
        <v>7910</v>
      </c>
      <c r="J33" s="73">
        <f t="shared" si="139"/>
        <v>0</v>
      </c>
      <c r="K33" s="68">
        <f t="shared" si="19"/>
        <v>7910</v>
      </c>
      <c r="L33" s="71">
        <v>23179.0</v>
      </c>
      <c r="M33" s="71">
        <v>0.0</v>
      </c>
      <c r="N33" s="68">
        <f t="shared" si="3"/>
        <v>23179</v>
      </c>
      <c r="O33" s="71">
        <v>3347.4820143884895</v>
      </c>
      <c r="P33" s="71">
        <v>0.0</v>
      </c>
      <c r="Q33" s="68">
        <f t="shared" si="4"/>
        <v>3347.482014</v>
      </c>
      <c r="R33" s="71">
        <f t="shared" ref="R33:S33" si="140">L33-O33</f>
        <v>19831.51799</v>
      </c>
      <c r="S33" s="71">
        <f t="shared" si="140"/>
        <v>0</v>
      </c>
      <c r="T33" s="68">
        <f t="shared" si="6"/>
        <v>19831.51799</v>
      </c>
      <c r="U33" s="71">
        <f t="shared" ref="U33:V33" si="141">R33*0.55</f>
        <v>10907.33489</v>
      </c>
      <c r="V33" s="71">
        <f t="shared" si="141"/>
        <v>0</v>
      </c>
      <c r="W33" s="68">
        <f t="shared" si="8"/>
        <v>10907.33489</v>
      </c>
      <c r="X33" s="71">
        <f t="shared" ref="X33:Y33" si="142">U33/0.95</f>
        <v>11481.40515</v>
      </c>
      <c r="Y33" s="71">
        <f t="shared" si="142"/>
        <v>0</v>
      </c>
      <c r="Z33" s="68">
        <f t="shared" si="10"/>
        <v>11481.40515</v>
      </c>
      <c r="AA33" s="71">
        <v>6097.6685</v>
      </c>
      <c r="AB33" s="71">
        <v>0.0</v>
      </c>
      <c r="AC33" s="68">
        <f t="shared" si="11"/>
        <v>6097.6685</v>
      </c>
      <c r="AD33" s="71">
        <f t="shared" ref="AD33:AE33" si="143">AA33*0.95</f>
        <v>5792.785075</v>
      </c>
      <c r="AE33" s="71">
        <f t="shared" si="143"/>
        <v>0</v>
      </c>
      <c r="AF33" s="68">
        <f t="shared" si="13"/>
        <v>5792.785075</v>
      </c>
      <c r="AG33" s="71">
        <v>215.0</v>
      </c>
      <c r="AH33" s="71">
        <v>0.0</v>
      </c>
      <c r="AI33" s="68">
        <f t="shared" si="14"/>
        <v>215</v>
      </c>
      <c r="AJ33" s="71">
        <f t="shared" ref="AJ33:AK33" si="144">AG33/1.05506</f>
        <v>203.7798798</v>
      </c>
      <c r="AK33" s="71">
        <f t="shared" si="144"/>
        <v>0</v>
      </c>
      <c r="AL33" s="68">
        <f t="shared" si="16"/>
        <v>203.7798798</v>
      </c>
    </row>
    <row r="34" ht="14.25" customHeight="1">
      <c r="B34" s="69">
        <v>45649.0</v>
      </c>
      <c r="C34" s="70"/>
      <c r="D34" s="70"/>
      <c r="E34" s="68">
        <f t="shared" si="1"/>
        <v>0</v>
      </c>
      <c r="F34" s="71">
        <v>981.0</v>
      </c>
      <c r="G34" s="72">
        <v>0.0</v>
      </c>
      <c r="H34" s="68">
        <f t="shared" si="17"/>
        <v>981</v>
      </c>
      <c r="I34" s="73">
        <f t="shared" ref="I34:J34" si="145">F34*55000*0.35/1000/0.55</f>
        <v>34335</v>
      </c>
      <c r="J34" s="73">
        <f t="shared" si="145"/>
        <v>0</v>
      </c>
      <c r="K34" s="68">
        <f t="shared" si="19"/>
        <v>34335</v>
      </c>
      <c r="L34" s="71">
        <v>24895.0</v>
      </c>
      <c r="M34" s="71">
        <v>0.0</v>
      </c>
      <c r="N34" s="68">
        <f t="shared" si="3"/>
        <v>24895</v>
      </c>
      <c r="O34" s="71">
        <v>3346.762589928058</v>
      </c>
      <c r="P34" s="71">
        <v>0.0</v>
      </c>
      <c r="Q34" s="68">
        <f t="shared" si="4"/>
        <v>3346.76259</v>
      </c>
      <c r="R34" s="71">
        <f t="shared" ref="R34:S34" si="146">L34-O34</f>
        <v>21548.23741</v>
      </c>
      <c r="S34" s="71">
        <f t="shared" si="146"/>
        <v>0</v>
      </c>
      <c r="T34" s="68">
        <f t="shared" si="6"/>
        <v>21548.23741</v>
      </c>
      <c r="U34" s="71">
        <f t="shared" ref="U34:V34" si="147">R34*0.55</f>
        <v>11851.53058</v>
      </c>
      <c r="V34" s="71">
        <f t="shared" si="147"/>
        <v>0</v>
      </c>
      <c r="W34" s="68">
        <f t="shared" si="8"/>
        <v>11851.53058</v>
      </c>
      <c r="X34" s="71">
        <f t="shared" ref="X34:Y34" si="148">U34/0.95</f>
        <v>12475.29534</v>
      </c>
      <c r="Y34" s="71">
        <f t="shared" si="148"/>
        <v>0</v>
      </c>
      <c r="Z34" s="68">
        <f t="shared" si="10"/>
        <v>12475.29534</v>
      </c>
      <c r="AA34" s="71">
        <v>7054.0551</v>
      </c>
      <c r="AB34" s="71">
        <v>0.0</v>
      </c>
      <c r="AC34" s="68">
        <f t="shared" si="11"/>
        <v>7054.0551</v>
      </c>
      <c r="AD34" s="71">
        <f t="shared" ref="AD34:AE34" si="149">AA34*0.95</f>
        <v>6701.352345</v>
      </c>
      <c r="AE34" s="71">
        <f t="shared" si="149"/>
        <v>0</v>
      </c>
      <c r="AF34" s="68">
        <f t="shared" si="13"/>
        <v>6701.352345</v>
      </c>
      <c r="AG34" s="71">
        <v>249.0</v>
      </c>
      <c r="AH34" s="71">
        <v>0.0</v>
      </c>
      <c r="AI34" s="68">
        <f t="shared" si="14"/>
        <v>249</v>
      </c>
      <c r="AJ34" s="71">
        <f t="shared" ref="AJ34:AK34" si="150">AG34/1.05506</f>
        <v>236.0055352</v>
      </c>
      <c r="AK34" s="71">
        <f t="shared" si="150"/>
        <v>0</v>
      </c>
      <c r="AL34" s="68">
        <f t="shared" si="16"/>
        <v>236.0055352</v>
      </c>
    </row>
    <row r="35" ht="14.25" customHeight="1">
      <c r="B35" s="69">
        <v>45650.0</v>
      </c>
      <c r="C35" s="70"/>
      <c r="D35" s="70"/>
      <c r="E35" s="68">
        <f t="shared" si="1"/>
        <v>0</v>
      </c>
      <c r="F35" s="71">
        <v>1520.0</v>
      </c>
      <c r="G35" s="72">
        <v>0.0</v>
      </c>
      <c r="H35" s="68">
        <f t="shared" si="17"/>
        <v>1520</v>
      </c>
      <c r="I35" s="73">
        <f t="shared" ref="I35:J35" si="151">F35*55000*0.35/1000/0.55</f>
        <v>53200</v>
      </c>
      <c r="J35" s="73">
        <f t="shared" si="151"/>
        <v>0</v>
      </c>
      <c r="K35" s="68">
        <f t="shared" si="19"/>
        <v>53200</v>
      </c>
      <c r="L35" s="71">
        <v>26433.0</v>
      </c>
      <c r="M35" s="71">
        <v>0.0</v>
      </c>
      <c r="N35" s="68">
        <f t="shared" si="3"/>
        <v>26433</v>
      </c>
      <c r="O35" s="71">
        <v>3662.589928057554</v>
      </c>
      <c r="P35" s="71">
        <v>0.0</v>
      </c>
      <c r="Q35" s="68">
        <f t="shared" si="4"/>
        <v>3662.589928</v>
      </c>
      <c r="R35" s="71">
        <f t="shared" ref="R35:S35" si="152">L35-O35</f>
        <v>22770.41007</v>
      </c>
      <c r="S35" s="71">
        <f t="shared" si="152"/>
        <v>0</v>
      </c>
      <c r="T35" s="68">
        <f t="shared" si="6"/>
        <v>22770.41007</v>
      </c>
      <c r="U35" s="71">
        <f t="shared" ref="U35:V35" si="153">R35*0.55</f>
        <v>12523.72554</v>
      </c>
      <c r="V35" s="71">
        <f t="shared" si="153"/>
        <v>0</v>
      </c>
      <c r="W35" s="68">
        <f t="shared" si="8"/>
        <v>12523.72554</v>
      </c>
      <c r="X35" s="71">
        <f t="shared" ref="X35:Y35" si="154">U35/0.95</f>
        <v>13182.86899</v>
      </c>
      <c r="Y35" s="71">
        <f t="shared" si="154"/>
        <v>0</v>
      </c>
      <c r="Z35" s="68">
        <f t="shared" si="10"/>
        <v>13182.86899</v>
      </c>
      <c r="AA35" s="71">
        <v>7956.1725</v>
      </c>
      <c r="AB35" s="71">
        <v>0.0</v>
      </c>
      <c r="AC35" s="68">
        <f t="shared" si="11"/>
        <v>7956.1725</v>
      </c>
      <c r="AD35" s="71">
        <f t="shared" ref="AD35:AE35" si="155">AA35*0.95</f>
        <v>7558.363875</v>
      </c>
      <c r="AE35" s="71">
        <f t="shared" si="155"/>
        <v>0</v>
      </c>
      <c r="AF35" s="68">
        <f t="shared" si="13"/>
        <v>7558.363875</v>
      </c>
      <c r="AG35" s="71">
        <v>282.0</v>
      </c>
      <c r="AH35" s="71">
        <v>0.0</v>
      </c>
      <c r="AI35" s="68">
        <f t="shared" si="14"/>
        <v>282</v>
      </c>
      <c r="AJ35" s="71">
        <f t="shared" ref="AJ35:AK35" si="156">AG35/1.05506</f>
        <v>267.2833772</v>
      </c>
      <c r="AK35" s="71">
        <f t="shared" si="156"/>
        <v>0</v>
      </c>
      <c r="AL35" s="68">
        <f t="shared" si="16"/>
        <v>267.2833772</v>
      </c>
    </row>
    <row r="36" ht="14.25" customHeight="1">
      <c r="B36" s="69">
        <v>45651.0</v>
      </c>
      <c r="C36" s="70"/>
      <c r="D36" s="70"/>
      <c r="E36" s="68">
        <f t="shared" si="1"/>
        <v>0</v>
      </c>
      <c r="F36" s="71">
        <v>966.0</v>
      </c>
      <c r="G36" s="72">
        <v>0.0</v>
      </c>
      <c r="H36" s="68">
        <f t="shared" si="17"/>
        <v>966</v>
      </c>
      <c r="I36" s="73">
        <f t="shared" ref="I36:J36" si="157">F36*55000*0.35/1000/0.55</f>
        <v>33810</v>
      </c>
      <c r="J36" s="73">
        <f t="shared" si="157"/>
        <v>0</v>
      </c>
      <c r="K36" s="68">
        <f t="shared" si="19"/>
        <v>33810</v>
      </c>
      <c r="L36" s="71">
        <v>25887.0</v>
      </c>
      <c r="M36" s="71">
        <v>0.0</v>
      </c>
      <c r="N36" s="68">
        <f t="shared" si="3"/>
        <v>25887</v>
      </c>
      <c r="O36" s="71">
        <v>3530.5755395683454</v>
      </c>
      <c r="P36" s="71">
        <v>0.0</v>
      </c>
      <c r="Q36" s="68">
        <f t="shared" si="4"/>
        <v>3530.57554</v>
      </c>
      <c r="R36" s="71">
        <f t="shared" ref="R36:S36" si="158">L36-O36</f>
        <v>22356.42446</v>
      </c>
      <c r="S36" s="71">
        <f t="shared" si="158"/>
        <v>0</v>
      </c>
      <c r="T36" s="68">
        <f t="shared" si="6"/>
        <v>22356.42446</v>
      </c>
      <c r="U36" s="71">
        <f t="shared" ref="U36:V36" si="159">R36*0.55</f>
        <v>12296.03345</v>
      </c>
      <c r="V36" s="71">
        <f t="shared" si="159"/>
        <v>0</v>
      </c>
      <c r="W36" s="68">
        <f t="shared" si="8"/>
        <v>12296.03345</v>
      </c>
      <c r="X36" s="71">
        <f t="shared" ref="X36:Y36" si="160">U36/0.95</f>
        <v>12943.19311</v>
      </c>
      <c r="Y36" s="71">
        <f t="shared" si="160"/>
        <v>0</v>
      </c>
      <c r="Z36" s="68">
        <f t="shared" si="10"/>
        <v>12943.19311</v>
      </c>
      <c r="AA36" s="71">
        <v>7579.5476</v>
      </c>
      <c r="AB36" s="71">
        <v>0.0</v>
      </c>
      <c r="AC36" s="68">
        <f t="shared" si="11"/>
        <v>7579.5476</v>
      </c>
      <c r="AD36" s="71">
        <f t="shared" ref="AD36:AE36" si="161">AA36*0.95</f>
        <v>7200.57022</v>
      </c>
      <c r="AE36" s="71">
        <f t="shared" si="161"/>
        <v>0</v>
      </c>
      <c r="AF36" s="68">
        <f t="shared" si="13"/>
        <v>7200.57022</v>
      </c>
      <c r="AG36" s="71">
        <v>267.0</v>
      </c>
      <c r="AH36" s="71">
        <v>0.0</v>
      </c>
      <c r="AI36" s="68">
        <f t="shared" si="14"/>
        <v>267</v>
      </c>
      <c r="AJ36" s="71">
        <f t="shared" ref="AJ36:AK36" si="162">AG36/1.05506</f>
        <v>253.0661763</v>
      </c>
      <c r="AK36" s="71">
        <f t="shared" si="162"/>
        <v>0</v>
      </c>
      <c r="AL36" s="68">
        <f t="shared" si="16"/>
        <v>253.0661763</v>
      </c>
    </row>
    <row r="37" ht="14.25" customHeight="1">
      <c r="B37" s="69">
        <v>45652.0</v>
      </c>
      <c r="C37" s="70"/>
      <c r="D37" s="70"/>
      <c r="E37" s="68">
        <f t="shared" si="1"/>
        <v>0</v>
      </c>
      <c r="F37" s="71">
        <v>925.0</v>
      </c>
      <c r="G37" s="72">
        <v>0.0</v>
      </c>
      <c r="H37" s="68">
        <f t="shared" si="17"/>
        <v>925</v>
      </c>
      <c r="I37" s="73">
        <f t="shared" ref="I37:J37" si="163">F37*55000*0.35/1000/0.55</f>
        <v>32375</v>
      </c>
      <c r="J37" s="73">
        <f t="shared" si="163"/>
        <v>0</v>
      </c>
      <c r="K37" s="68">
        <f t="shared" si="19"/>
        <v>32375</v>
      </c>
      <c r="L37" s="71">
        <v>25463.0</v>
      </c>
      <c r="M37" s="71">
        <v>0.0</v>
      </c>
      <c r="N37" s="68">
        <f t="shared" si="3"/>
        <v>25463</v>
      </c>
      <c r="O37" s="71">
        <v>3525.539568345324</v>
      </c>
      <c r="P37" s="71">
        <v>0.0</v>
      </c>
      <c r="Q37" s="68">
        <f t="shared" si="4"/>
        <v>3525.539568</v>
      </c>
      <c r="R37" s="71">
        <f t="shared" ref="R37:S37" si="164">L37-O37</f>
        <v>21937.46043</v>
      </c>
      <c r="S37" s="71">
        <f t="shared" si="164"/>
        <v>0</v>
      </c>
      <c r="T37" s="68">
        <f t="shared" si="6"/>
        <v>21937.46043</v>
      </c>
      <c r="U37" s="71">
        <f t="shared" ref="U37:V37" si="165">R37*0.55</f>
        <v>12065.60324</v>
      </c>
      <c r="V37" s="71">
        <f t="shared" si="165"/>
        <v>0</v>
      </c>
      <c r="W37" s="68">
        <f t="shared" si="8"/>
        <v>12065.60324</v>
      </c>
      <c r="X37" s="71">
        <f t="shared" ref="X37:Y37" si="166">U37/0.95</f>
        <v>12700.63499</v>
      </c>
      <c r="Y37" s="71">
        <f t="shared" si="166"/>
        <v>0</v>
      </c>
      <c r="Z37" s="68">
        <f t="shared" si="10"/>
        <v>12700.63499</v>
      </c>
      <c r="AA37" s="71">
        <v>7650.6605</v>
      </c>
      <c r="AB37" s="71">
        <v>0.0</v>
      </c>
      <c r="AC37" s="68">
        <f t="shared" si="11"/>
        <v>7650.6605</v>
      </c>
      <c r="AD37" s="71">
        <f t="shared" ref="AD37:AE37" si="167">AA37*0.95</f>
        <v>7268.127475</v>
      </c>
      <c r="AE37" s="71">
        <f t="shared" si="167"/>
        <v>0</v>
      </c>
      <c r="AF37" s="68">
        <f t="shared" si="13"/>
        <v>7268.127475</v>
      </c>
      <c r="AG37" s="71">
        <v>269.0</v>
      </c>
      <c r="AH37" s="71">
        <v>0.0</v>
      </c>
      <c r="AI37" s="68">
        <f t="shared" si="14"/>
        <v>269</v>
      </c>
      <c r="AJ37" s="71">
        <f t="shared" ref="AJ37:AK37" si="168">AG37/1.05506</f>
        <v>254.9618031</v>
      </c>
      <c r="AK37" s="71">
        <f t="shared" si="168"/>
        <v>0</v>
      </c>
      <c r="AL37" s="68">
        <f t="shared" si="16"/>
        <v>254.9618031</v>
      </c>
    </row>
    <row r="38" ht="14.25" customHeight="1">
      <c r="B38" s="69">
        <v>45653.0</v>
      </c>
      <c r="C38" s="70"/>
      <c r="D38" s="70"/>
      <c r="E38" s="68">
        <f t="shared" si="1"/>
        <v>0</v>
      </c>
      <c r="F38" s="71">
        <v>829.0</v>
      </c>
      <c r="G38" s="72">
        <v>0.0</v>
      </c>
      <c r="H38" s="68">
        <f t="shared" si="17"/>
        <v>829</v>
      </c>
      <c r="I38" s="73">
        <f t="shared" ref="I38:J38" si="169">F38*55000*0.35/1000/0.55</f>
        <v>29015</v>
      </c>
      <c r="J38" s="73">
        <f t="shared" si="169"/>
        <v>0</v>
      </c>
      <c r="K38" s="68">
        <f t="shared" si="19"/>
        <v>29015</v>
      </c>
      <c r="L38" s="71">
        <v>26102.0</v>
      </c>
      <c r="M38" s="71">
        <v>0.0</v>
      </c>
      <c r="N38" s="68">
        <f t="shared" si="3"/>
        <v>26102</v>
      </c>
      <c r="O38" s="71">
        <v>3466.906474820144</v>
      </c>
      <c r="P38" s="71">
        <v>0.0</v>
      </c>
      <c r="Q38" s="68">
        <f t="shared" si="4"/>
        <v>3466.906475</v>
      </c>
      <c r="R38" s="71">
        <f t="shared" ref="R38:S38" si="170">L38-O38</f>
        <v>22635.09353</v>
      </c>
      <c r="S38" s="71">
        <f t="shared" si="170"/>
        <v>0</v>
      </c>
      <c r="T38" s="68">
        <f t="shared" si="6"/>
        <v>22635.09353</v>
      </c>
      <c r="U38" s="71">
        <f t="shared" ref="U38:V38" si="171">R38*0.55</f>
        <v>12449.30144</v>
      </c>
      <c r="V38" s="71">
        <f t="shared" si="171"/>
        <v>0</v>
      </c>
      <c r="W38" s="68">
        <f t="shared" si="8"/>
        <v>12449.30144</v>
      </c>
      <c r="X38" s="71">
        <f t="shared" ref="X38:Y38" si="172">U38/0.95</f>
        <v>13104.52783</v>
      </c>
      <c r="Y38" s="71">
        <f t="shared" si="172"/>
        <v>0</v>
      </c>
      <c r="Z38" s="68">
        <f t="shared" si="10"/>
        <v>13104.52783</v>
      </c>
      <c r="AA38" s="71">
        <v>7066.646</v>
      </c>
      <c r="AB38" s="71">
        <v>0.0</v>
      </c>
      <c r="AC38" s="68">
        <f t="shared" si="11"/>
        <v>7066.646</v>
      </c>
      <c r="AD38" s="71">
        <f t="shared" ref="AD38:AE38" si="173">AA38*0.95</f>
        <v>6713.3137</v>
      </c>
      <c r="AE38" s="71">
        <f t="shared" si="173"/>
        <v>0</v>
      </c>
      <c r="AF38" s="68">
        <f t="shared" si="13"/>
        <v>6713.3137</v>
      </c>
      <c r="AG38" s="71">
        <v>251.0</v>
      </c>
      <c r="AH38" s="71">
        <v>0.0</v>
      </c>
      <c r="AI38" s="68">
        <f t="shared" si="14"/>
        <v>251</v>
      </c>
      <c r="AJ38" s="71">
        <f t="shared" ref="AJ38:AK38" si="174">AG38/1.05506</f>
        <v>237.901162</v>
      </c>
      <c r="AK38" s="71">
        <f t="shared" si="174"/>
        <v>0</v>
      </c>
      <c r="AL38" s="68">
        <f t="shared" si="16"/>
        <v>237.901162</v>
      </c>
    </row>
    <row r="39" ht="14.25" customHeight="1">
      <c r="B39" s="69">
        <v>45654.0</v>
      </c>
      <c r="C39" s="70"/>
      <c r="D39" s="70"/>
      <c r="E39" s="68">
        <f t="shared" si="1"/>
        <v>0</v>
      </c>
      <c r="F39" s="71">
        <v>982.0</v>
      </c>
      <c r="G39" s="72">
        <v>0.0</v>
      </c>
      <c r="H39" s="68">
        <f t="shared" si="17"/>
        <v>982</v>
      </c>
      <c r="I39" s="73">
        <f t="shared" ref="I39:J39" si="175">F39*55000*0.35/1000/0.55</f>
        <v>34370</v>
      </c>
      <c r="J39" s="73">
        <f t="shared" si="175"/>
        <v>0</v>
      </c>
      <c r="K39" s="68">
        <f t="shared" si="19"/>
        <v>34370</v>
      </c>
      <c r="L39" s="71">
        <v>25624.0</v>
      </c>
      <c r="M39" s="71">
        <v>0.0</v>
      </c>
      <c r="N39" s="68">
        <f t="shared" si="3"/>
        <v>25624</v>
      </c>
      <c r="O39" s="71">
        <v>3366.546762589928</v>
      </c>
      <c r="P39" s="71">
        <v>0.0</v>
      </c>
      <c r="Q39" s="68">
        <f t="shared" si="4"/>
        <v>3366.546763</v>
      </c>
      <c r="R39" s="71">
        <f t="shared" ref="R39:S39" si="176">L39-O39</f>
        <v>22257.45324</v>
      </c>
      <c r="S39" s="71">
        <f t="shared" si="176"/>
        <v>0</v>
      </c>
      <c r="T39" s="68">
        <f t="shared" si="6"/>
        <v>22257.45324</v>
      </c>
      <c r="U39" s="71">
        <f t="shared" ref="U39:V39" si="177">R39*0.55</f>
        <v>12241.59928</v>
      </c>
      <c r="V39" s="71">
        <f t="shared" si="177"/>
        <v>0</v>
      </c>
      <c r="W39" s="68">
        <f t="shared" si="8"/>
        <v>12241.59928</v>
      </c>
      <c r="X39" s="71">
        <f t="shared" ref="X39:Y39" si="178">U39/0.95</f>
        <v>12885.89398</v>
      </c>
      <c r="Y39" s="71">
        <f t="shared" si="178"/>
        <v>0</v>
      </c>
      <c r="Z39" s="68">
        <f t="shared" si="10"/>
        <v>12885.89398</v>
      </c>
      <c r="AA39" s="71">
        <v>8096.4021</v>
      </c>
      <c r="AB39" s="71">
        <v>0.0</v>
      </c>
      <c r="AC39" s="68">
        <f t="shared" si="11"/>
        <v>8096.4021</v>
      </c>
      <c r="AD39" s="71">
        <f t="shared" ref="AD39:AE39" si="179">AA39*0.95</f>
        <v>7691.581995</v>
      </c>
      <c r="AE39" s="71">
        <f t="shared" si="179"/>
        <v>0</v>
      </c>
      <c r="AF39" s="68">
        <f t="shared" si="13"/>
        <v>7691.581995</v>
      </c>
      <c r="AG39" s="71">
        <v>286.0</v>
      </c>
      <c r="AH39" s="71">
        <v>0.0</v>
      </c>
      <c r="AI39" s="68">
        <f t="shared" si="14"/>
        <v>286</v>
      </c>
      <c r="AJ39" s="71">
        <f t="shared" ref="AJ39:AK39" si="180">AG39/1.05506</f>
        <v>271.0746308</v>
      </c>
      <c r="AK39" s="71">
        <f t="shared" si="180"/>
        <v>0</v>
      </c>
      <c r="AL39" s="68">
        <f t="shared" si="16"/>
        <v>271.0746308</v>
      </c>
    </row>
    <row r="40" ht="14.25" customHeight="1">
      <c r="B40" s="69">
        <v>45655.0</v>
      </c>
      <c r="C40" s="70"/>
      <c r="D40" s="70"/>
      <c r="E40" s="68">
        <f t="shared" si="1"/>
        <v>0</v>
      </c>
      <c r="F40" s="71">
        <v>344.0</v>
      </c>
      <c r="G40" s="72">
        <v>0.0</v>
      </c>
      <c r="H40" s="68">
        <f t="shared" si="17"/>
        <v>344</v>
      </c>
      <c r="I40" s="73">
        <f t="shared" ref="I40:J40" si="181">F40*55000*0.35/1000/0.55</f>
        <v>12040</v>
      </c>
      <c r="J40" s="73">
        <f t="shared" si="181"/>
        <v>0</v>
      </c>
      <c r="K40" s="68">
        <f t="shared" si="19"/>
        <v>12040</v>
      </c>
      <c r="L40" s="71">
        <v>24641.0</v>
      </c>
      <c r="M40" s="71">
        <v>0.0</v>
      </c>
      <c r="N40" s="68">
        <f t="shared" si="3"/>
        <v>24641</v>
      </c>
      <c r="O40" s="71">
        <v>3251.4388489208636</v>
      </c>
      <c r="P40" s="71">
        <v>0.0</v>
      </c>
      <c r="Q40" s="68">
        <f t="shared" si="4"/>
        <v>3251.438849</v>
      </c>
      <c r="R40" s="71">
        <f t="shared" ref="R40:S40" si="182">L40-O40</f>
        <v>21389.56115</v>
      </c>
      <c r="S40" s="71">
        <f t="shared" si="182"/>
        <v>0</v>
      </c>
      <c r="T40" s="68">
        <f t="shared" si="6"/>
        <v>21389.56115</v>
      </c>
      <c r="U40" s="71">
        <f t="shared" ref="U40:V40" si="183">R40*0.55</f>
        <v>11764.25863</v>
      </c>
      <c r="V40" s="71">
        <f t="shared" si="183"/>
        <v>0</v>
      </c>
      <c r="W40" s="68">
        <f t="shared" si="8"/>
        <v>11764.25863</v>
      </c>
      <c r="X40" s="71">
        <f t="shared" ref="X40:Y40" si="184">U40/0.95</f>
        <v>12383.43014</v>
      </c>
      <c r="Y40" s="71">
        <f t="shared" si="184"/>
        <v>0</v>
      </c>
      <c r="Z40" s="68">
        <f t="shared" si="10"/>
        <v>12383.43014</v>
      </c>
      <c r="AA40" s="71">
        <v>7596.7826</v>
      </c>
      <c r="AB40" s="71">
        <v>0.0</v>
      </c>
      <c r="AC40" s="68">
        <f t="shared" si="11"/>
        <v>7596.7826</v>
      </c>
      <c r="AD40" s="71">
        <f t="shared" ref="AD40:AE40" si="185">AA40*0.95</f>
        <v>7216.94347</v>
      </c>
      <c r="AE40" s="71">
        <f t="shared" si="185"/>
        <v>0</v>
      </c>
      <c r="AF40" s="68">
        <f t="shared" si="13"/>
        <v>7216.94347</v>
      </c>
      <c r="AG40" s="71">
        <v>268.0</v>
      </c>
      <c r="AH40" s="71">
        <v>0.0</v>
      </c>
      <c r="AI40" s="68">
        <f t="shared" si="14"/>
        <v>268</v>
      </c>
      <c r="AJ40" s="71">
        <f t="shared" ref="AJ40:AK40" si="186">AG40/1.05506</f>
        <v>254.0139897</v>
      </c>
      <c r="AK40" s="71">
        <f t="shared" si="186"/>
        <v>0</v>
      </c>
      <c r="AL40" s="68">
        <f t="shared" si="16"/>
        <v>254.0139897</v>
      </c>
    </row>
    <row r="41" ht="14.25" customHeight="1">
      <c r="B41" s="69">
        <v>45656.0</v>
      </c>
      <c r="C41" s="70"/>
      <c r="D41" s="70"/>
      <c r="E41" s="68">
        <f t="shared" si="1"/>
        <v>0</v>
      </c>
      <c r="F41" s="71">
        <v>952.0</v>
      </c>
      <c r="G41" s="72">
        <v>0.0</v>
      </c>
      <c r="H41" s="68">
        <f t="shared" si="17"/>
        <v>952</v>
      </c>
      <c r="I41" s="73">
        <f t="shared" ref="I41:J41" si="187">F40*55000*0.35/1000/0.55</f>
        <v>12040</v>
      </c>
      <c r="J41" s="73">
        <f t="shared" si="187"/>
        <v>0</v>
      </c>
      <c r="K41" s="68">
        <f t="shared" si="19"/>
        <v>12040</v>
      </c>
      <c r="L41" s="71">
        <v>24383.0</v>
      </c>
      <c r="M41" s="71">
        <v>0.0</v>
      </c>
      <c r="N41" s="68">
        <f t="shared" si="3"/>
        <v>24383</v>
      </c>
      <c r="O41" s="71">
        <v>3358.273381294964</v>
      </c>
      <c r="P41" s="71">
        <v>0.0</v>
      </c>
      <c r="Q41" s="68">
        <f t="shared" si="4"/>
        <v>3358.273381</v>
      </c>
      <c r="R41" s="71">
        <f t="shared" ref="R41:S41" si="188">L40-O41</f>
        <v>21282.72662</v>
      </c>
      <c r="S41" s="71">
        <f t="shared" si="188"/>
        <v>0</v>
      </c>
      <c r="T41" s="68">
        <f t="shared" si="6"/>
        <v>21282.72662</v>
      </c>
      <c r="U41" s="71">
        <f t="shared" ref="U41:V41" si="189">R41*0.55</f>
        <v>11705.49964</v>
      </c>
      <c r="V41" s="71">
        <f t="shared" si="189"/>
        <v>0</v>
      </c>
      <c r="W41" s="68">
        <f t="shared" si="8"/>
        <v>11705.49964</v>
      </c>
      <c r="X41" s="71">
        <f t="shared" ref="X41:Y41" si="190">U41/0.95</f>
        <v>12321.57857</v>
      </c>
      <c r="Y41" s="71">
        <f t="shared" si="190"/>
        <v>0</v>
      </c>
      <c r="Z41" s="68">
        <f t="shared" si="10"/>
        <v>12321.57857</v>
      </c>
      <c r="AA41" s="71">
        <v>8069.5691</v>
      </c>
      <c r="AB41" s="71">
        <v>0.0</v>
      </c>
      <c r="AC41" s="68">
        <f t="shared" si="11"/>
        <v>8069.5691</v>
      </c>
      <c r="AD41" s="71">
        <f t="shared" ref="AD41:AE41" si="191">AA41*0.95</f>
        <v>7666.090645</v>
      </c>
      <c r="AE41" s="71">
        <f t="shared" si="191"/>
        <v>0</v>
      </c>
      <c r="AF41" s="68">
        <f t="shared" si="13"/>
        <v>7666.090645</v>
      </c>
      <c r="AG41" s="71">
        <v>284.0</v>
      </c>
      <c r="AH41" s="71">
        <v>0.0</v>
      </c>
      <c r="AI41" s="68">
        <f t="shared" si="14"/>
        <v>284</v>
      </c>
      <c r="AJ41" s="71">
        <f t="shared" ref="AJ41:AK41" si="192">AG41/1.05506</f>
        <v>269.179004</v>
      </c>
      <c r="AK41" s="71">
        <f t="shared" si="192"/>
        <v>0</v>
      </c>
      <c r="AL41" s="68">
        <f t="shared" si="16"/>
        <v>269.179004</v>
      </c>
    </row>
    <row r="42" ht="14.25" customHeight="1">
      <c r="B42" s="69">
        <v>45657.0</v>
      </c>
      <c r="C42" s="70"/>
      <c r="D42" s="70"/>
      <c r="E42" s="68">
        <f t="shared" si="1"/>
        <v>0</v>
      </c>
      <c r="F42" s="71">
        <v>210.0</v>
      </c>
      <c r="G42" s="72">
        <v>0.0</v>
      </c>
      <c r="H42" s="68">
        <f t="shared" si="17"/>
        <v>210</v>
      </c>
      <c r="I42" s="73">
        <f t="shared" ref="I42:J42" si="193">F41*55000*0.35/1000/0.55</f>
        <v>33320</v>
      </c>
      <c r="J42" s="73">
        <f t="shared" si="193"/>
        <v>0</v>
      </c>
      <c r="K42" s="68">
        <f t="shared" si="19"/>
        <v>33320</v>
      </c>
      <c r="L42" s="71">
        <v>23673.0</v>
      </c>
      <c r="M42" s="71">
        <v>0.0</v>
      </c>
      <c r="N42" s="68">
        <f t="shared" si="3"/>
        <v>23673</v>
      </c>
      <c r="O42" s="71">
        <v>3390.2877697841727</v>
      </c>
      <c r="P42" s="71">
        <v>0.0</v>
      </c>
      <c r="Q42" s="68">
        <f t="shared" si="4"/>
        <v>3390.28777</v>
      </c>
      <c r="R42" s="71">
        <f t="shared" ref="R42:S42" si="194">L41-O42</f>
        <v>20992.71223</v>
      </c>
      <c r="S42" s="71">
        <f t="shared" si="194"/>
        <v>0</v>
      </c>
      <c r="T42" s="68">
        <f t="shared" si="6"/>
        <v>20992.71223</v>
      </c>
      <c r="U42" s="71">
        <f t="shared" ref="U42:V42" si="195">R42*0.55</f>
        <v>11545.99173</v>
      </c>
      <c r="V42" s="71">
        <f t="shared" si="195"/>
        <v>0</v>
      </c>
      <c r="W42" s="68">
        <f t="shared" si="8"/>
        <v>11545.99173</v>
      </c>
      <c r="X42" s="71">
        <f t="shared" ref="X42:Y42" si="196">U42/0.95</f>
        <v>12153.6755</v>
      </c>
      <c r="Y42" s="71">
        <f t="shared" si="196"/>
        <v>0</v>
      </c>
      <c r="Z42" s="68">
        <f t="shared" si="10"/>
        <v>12153.6755</v>
      </c>
      <c r="AA42" s="71">
        <v>7318.2098</v>
      </c>
      <c r="AB42" s="71">
        <v>0.0</v>
      </c>
      <c r="AC42" s="68">
        <f t="shared" si="11"/>
        <v>7318.2098</v>
      </c>
      <c r="AD42" s="71">
        <f t="shared" ref="AD42:AE42" si="197">AA42*0.95</f>
        <v>6952.29931</v>
      </c>
      <c r="AE42" s="71">
        <f t="shared" si="197"/>
        <v>0</v>
      </c>
      <c r="AF42" s="68">
        <f t="shared" si="13"/>
        <v>6952.29931</v>
      </c>
      <c r="AG42" s="71">
        <v>260.0</v>
      </c>
      <c r="AH42" s="71">
        <v>0.0</v>
      </c>
      <c r="AI42" s="68">
        <f t="shared" si="14"/>
        <v>260</v>
      </c>
      <c r="AJ42" s="71">
        <f t="shared" ref="AJ42:AK42" si="198">AG42/1.05506</f>
        <v>246.4314826</v>
      </c>
      <c r="AK42" s="71">
        <f t="shared" si="198"/>
        <v>0</v>
      </c>
      <c r="AL42" s="68">
        <f t="shared" si="16"/>
        <v>246.4314826</v>
      </c>
    </row>
    <row r="43" ht="15.0" customHeight="1">
      <c r="B43" s="76" t="s">
        <v>49</v>
      </c>
      <c r="C43" s="77"/>
      <c r="D43" s="77"/>
      <c r="E43" s="77"/>
      <c r="F43" s="77">
        <f t="shared" ref="F43:AI43" si="199">SUM(F12:F42)</f>
        <v>25326</v>
      </c>
      <c r="G43" s="77">
        <f t="shared" si="199"/>
        <v>0</v>
      </c>
      <c r="H43" s="77">
        <f t="shared" si="199"/>
        <v>25326</v>
      </c>
      <c r="I43" s="77">
        <f t="shared" si="199"/>
        <v>891100</v>
      </c>
      <c r="J43" s="77">
        <f t="shared" si="199"/>
        <v>0</v>
      </c>
      <c r="K43" s="77">
        <f t="shared" si="199"/>
        <v>891100</v>
      </c>
      <c r="L43" s="77">
        <f t="shared" si="199"/>
        <v>725315</v>
      </c>
      <c r="M43" s="77">
        <f t="shared" si="199"/>
        <v>0</v>
      </c>
      <c r="N43" s="77">
        <f t="shared" si="199"/>
        <v>725315</v>
      </c>
      <c r="O43" s="77">
        <f t="shared" si="199"/>
        <v>98139.20863</v>
      </c>
      <c r="P43" s="77">
        <f t="shared" si="199"/>
        <v>0</v>
      </c>
      <c r="Q43" s="77">
        <f t="shared" si="199"/>
        <v>98139.20863</v>
      </c>
      <c r="R43" s="77">
        <f t="shared" si="199"/>
        <v>628143.7914</v>
      </c>
      <c r="S43" s="77">
        <f t="shared" si="199"/>
        <v>0</v>
      </c>
      <c r="T43" s="77">
        <f t="shared" si="199"/>
        <v>628143.7914</v>
      </c>
      <c r="U43" s="77">
        <f t="shared" si="199"/>
        <v>345479.0853</v>
      </c>
      <c r="V43" s="77">
        <f t="shared" si="199"/>
        <v>0</v>
      </c>
      <c r="W43" s="77">
        <f t="shared" si="199"/>
        <v>345479.0853</v>
      </c>
      <c r="X43" s="77">
        <f t="shared" si="199"/>
        <v>363662.195</v>
      </c>
      <c r="Y43" s="77">
        <f t="shared" si="199"/>
        <v>0</v>
      </c>
      <c r="Z43" s="77">
        <f t="shared" si="199"/>
        <v>363662.195</v>
      </c>
      <c r="AA43" s="77">
        <f t="shared" si="199"/>
        <v>167910.6181</v>
      </c>
      <c r="AB43" s="77">
        <f t="shared" si="199"/>
        <v>0</v>
      </c>
      <c r="AC43" s="77">
        <f t="shared" si="199"/>
        <v>167910.6181</v>
      </c>
      <c r="AD43" s="77">
        <f t="shared" si="199"/>
        <v>159515.0872</v>
      </c>
      <c r="AE43" s="77">
        <f t="shared" si="199"/>
        <v>0</v>
      </c>
      <c r="AF43" s="77">
        <f t="shared" si="199"/>
        <v>159515.0872</v>
      </c>
      <c r="AG43" s="77">
        <f t="shared" si="199"/>
        <v>5967</v>
      </c>
      <c r="AH43" s="77">
        <f t="shared" si="199"/>
        <v>0</v>
      </c>
      <c r="AI43" s="77">
        <f t="shared" si="199"/>
        <v>5967</v>
      </c>
      <c r="AJ43" s="78">
        <v>5656.0</v>
      </c>
      <c r="AK43" s="77">
        <f t="shared" ref="AK43:AL43" si="200">SUM(AK12:AK42)</f>
        <v>0</v>
      </c>
      <c r="AL43" s="77">
        <f t="shared" si="200"/>
        <v>5655.602525</v>
      </c>
      <c r="AN43" s="75">
        <f>AF43/Z43*100</f>
        <v>43.86353308</v>
      </c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80"/>
      <c r="V45" s="80"/>
      <c r="W45" s="80"/>
      <c r="X45" s="80"/>
      <c r="Y45" s="80"/>
      <c r="Z45" s="80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56"/>
      <c r="U59" s="56"/>
      <c r="V59" s="56"/>
      <c r="W59" s="56"/>
      <c r="X59" s="56"/>
      <c r="Y59" s="56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4.25" customHeight="1">
      <c r="B60" s="53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81"/>
      <c r="V60" s="81"/>
      <c r="W60" s="81"/>
      <c r="X60" s="81"/>
      <c r="Y60" s="81"/>
      <c r="Z60" s="81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2"/>
      <c r="V67" s="82"/>
      <c r="W67" s="82"/>
      <c r="X67" s="82"/>
      <c r="Y67" s="82"/>
      <c r="Z67" s="82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56"/>
      <c r="V70" s="56"/>
      <c r="W70" s="56"/>
      <c r="X70" s="56"/>
      <c r="Y70" s="56"/>
      <c r="Z70" s="56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</row>
    <row r="1028" ht="14.25" customHeight="1"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</row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45657.0</v>
      </c>
      <c r="C11" s="67"/>
      <c r="D11" s="67"/>
      <c r="E11" s="68">
        <f t="shared" ref="E11:E42" si="1">SUM(C11+D11)</f>
        <v>0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6">SUM(R11+S11)</f>
        <v>0</v>
      </c>
      <c r="U11" s="68"/>
      <c r="V11" s="68"/>
      <c r="W11" s="68">
        <f t="shared" ref="W11:W42" si="8">SUM(U11+V11)</f>
        <v>0</v>
      </c>
      <c r="X11" s="68"/>
      <c r="Y11" s="68"/>
      <c r="Z11" s="68">
        <f t="shared" ref="Z11:Z42" si="10">SUM(X11+Y11)</f>
        <v>0</v>
      </c>
      <c r="AA11" s="68"/>
      <c r="AB11" s="68"/>
      <c r="AC11" s="68">
        <f t="shared" ref="AC11:AC42" si="11">SUM(AA11+AB11)</f>
        <v>0</v>
      </c>
      <c r="AD11" s="68"/>
      <c r="AE11" s="68"/>
      <c r="AF11" s="68">
        <f t="shared" ref="AF11:AF42" si="13">SUM(AD11+AE11)</f>
        <v>0</v>
      </c>
      <c r="AG11" s="68"/>
      <c r="AH11" s="68"/>
      <c r="AI11" s="68">
        <f t="shared" ref="AI11:AI42" si="14">SUM(AG11+AH11)</f>
        <v>0</v>
      </c>
      <c r="AJ11" s="68"/>
      <c r="AK11" s="68"/>
      <c r="AL11" s="68">
        <f t="shared" ref="AL11:AL42" si="16">SUM(AJ11+AK11)</f>
        <v>0</v>
      </c>
    </row>
    <row r="12" ht="18.0" customHeight="1">
      <c r="B12" s="69">
        <v>45658.0</v>
      </c>
      <c r="C12" s="70"/>
      <c r="D12" s="70"/>
      <c r="E12" s="68">
        <f t="shared" si="1"/>
        <v>0</v>
      </c>
      <c r="F12" s="71">
        <v>843.0</v>
      </c>
      <c r="G12" s="71">
        <v>0.0</v>
      </c>
      <c r="H12" s="68">
        <f t="shared" ref="H12:H42" si="17">SUM(F12+G12)</f>
        <v>843</v>
      </c>
      <c r="I12" s="73">
        <f t="shared" ref="I12:J12" si="2">F12*55000*0.35/1000/0.55</f>
        <v>29505</v>
      </c>
      <c r="J12" s="73">
        <f t="shared" si="2"/>
        <v>0</v>
      </c>
      <c r="K12" s="68">
        <f t="shared" ref="K12:K42" si="19">J12+I12</f>
        <v>29505</v>
      </c>
      <c r="L12" s="71">
        <v>25556.0</v>
      </c>
      <c r="M12" s="71">
        <v>0.0</v>
      </c>
      <c r="N12" s="68">
        <f t="shared" si="3"/>
        <v>25556</v>
      </c>
      <c r="O12" s="71">
        <v>3323.0215827338134</v>
      </c>
      <c r="P12" s="71">
        <v>0.0</v>
      </c>
      <c r="Q12" s="68">
        <f t="shared" si="4"/>
        <v>3323.021583</v>
      </c>
      <c r="R12" s="71">
        <f t="shared" ref="R12:S12" si="5">L12-O12</f>
        <v>22232.97842</v>
      </c>
      <c r="S12" s="71">
        <f t="shared" si="5"/>
        <v>0</v>
      </c>
      <c r="T12" s="68">
        <f t="shared" si="6"/>
        <v>22232.97842</v>
      </c>
      <c r="U12" s="71">
        <f t="shared" ref="U12:V12" si="7">R12*0.55</f>
        <v>12228.13813</v>
      </c>
      <c r="V12" s="71">
        <f t="shared" si="7"/>
        <v>0</v>
      </c>
      <c r="W12" s="68">
        <f t="shared" si="8"/>
        <v>12228.13813</v>
      </c>
      <c r="X12" s="71">
        <f t="shared" ref="X12:Y12" si="9">U12/0.95</f>
        <v>12871.72435</v>
      </c>
      <c r="Y12" s="71">
        <f t="shared" si="9"/>
        <v>0</v>
      </c>
      <c r="Z12" s="68">
        <f t="shared" si="10"/>
        <v>12871.72435</v>
      </c>
      <c r="AA12" s="71">
        <v>7550.6201</v>
      </c>
      <c r="AB12" s="71">
        <v>0.0</v>
      </c>
      <c r="AC12" s="68">
        <f t="shared" si="11"/>
        <v>7550.6201</v>
      </c>
      <c r="AD12" s="71">
        <f t="shared" ref="AD12:AE12" si="12">AA12*0.95</f>
        <v>7173.089095</v>
      </c>
      <c r="AE12" s="71">
        <f t="shared" si="12"/>
        <v>0</v>
      </c>
      <c r="AF12" s="68">
        <f t="shared" si="13"/>
        <v>7173.089095</v>
      </c>
      <c r="AG12" s="71">
        <v>268.0</v>
      </c>
      <c r="AH12" s="71">
        <v>0.0</v>
      </c>
      <c r="AI12" s="68">
        <f t="shared" si="14"/>
        <v>268</v>
      </c>
      <c r="AJ12" s="71">
        <f t="shared" ref="AJ12:AK12" si="15">AG12/1.05506</f>
        <v>254.0139897</v>
      </c>
      <c r="AK12" s="71">
        <f t="shared" si="15"/>
        <v>0</v>
      </c>
      <c r="AL12" s="68">
        <f t="shared" si="16"/>
        <v>254.0139897</v>
      </c>
    </row>
    <row r="13" ht="14.25" customHeight="1">
      <c r="B13" s="69">
        <v>45659.0</v>
      </c>
      <c r="C13" s="70"/>
      <c r="D13" s="70"/>
      <c r="E13" s="68">
        <f t="shared" si="1"/>
        <v>0</v>
      </c>
      <c r="F13" s="71">
        <v>112.0</v>
      </c>
      <c r="G13" s="71">
        <v>0.0</v>
      </c>
      <c r="H13" s="68">
        <f t="shared" si="17"/>
        <v>112</v>
      </c>
      <c r="I13" s="73">
        <f t="shared" ref="I13:J13" si="18">F13*55000*0.35/1000/0.55</f>
        <v>3920</v>
      </c>
      <c r="J13" s="73">
        <f t="shared" si="18"/>
        <v>0</v>
      </c>
      <c r="K13" s="68">
        <f t="shared" si="19"/>
        <v>3920</v>
      </c>
      <c r="L13" s="71">
        <v>13192.0</v>
      </c>
      <c r="M13" s="71">
        <v>0.0</v>
      </c>
      <c r="N13" s="68">
        <f t="shared" si="3"/>
        <v>13192</v>
      </c>
      <c r="O13" s="71">
        <v>2332.0143884892086</v>
      </c>
      <c r="P13" s="71">
        <v>0.0</v>
      </c>
      <c r="Q13" s="68">
        <f t="shared" si="4"/>
        <v>2332.014388</v>
      </c>
      <c r="R13" s="71">
        <f t="shared" ref="R13:S13" si="20">L13-O13</f>
        <v>10859.98561</v>
      </c>
      <c r="S13" s="71">
        <f t="shared" si="20"/>
        <v>0</v>
      </c>
      <c r="T13" s="68">
        <f t="shared" si="6"/>
        <v>10859.98561</v>
      </c>
      <c r="U13" s="71">
        <f t="shared" ref="U13:V13" si="21">R13*0.55</f>
        <v>5972.992086</v>
      </c>
      <c r="V13" s="71">
        <f t="shared" si="21"/>
        <v>0</v>
      </c>
      <c r="W13" s="68">
        <f t="shared" si="8"/>
        <v>5972.992086</v>
      </c>
      <c r="X13" s="71">
        <f t="shared" ref="X13:Y13" si="22">U13/0.95</f>
        <v>6287.360091</v>
      </c>
      <c r="Y13" s="71">
        <f t="shared" si="22"/>
        <v>0</v>
      </c>
      <c r="Z13" s="68">
        <f t="shared" si="10"/>
        <v>6287.360091</v>
      </c>
      <c r="AA13" s="71">
        <v>733.1705</v>
      </c>
      <c r="AB13" s="71">
        <v>0.0</v>
      </c>
      <c r="AC13" s="68">
        <f t="shared" si="11"/>
        <v>733.1705</v>
      </c>
      <c r="AD13" s="71">
        <f t="shared" ref="AD13:AE13" si="23">AA13*0.95</f>
        <v>696.511975</v>
      </c>
      <c r="AE13" s="71">
        <f t="shared" si="23"/>
        <v>0</v>
      </c>
      <c r="AF13" s="68">
        <f t="shared" si="13"/>
        <v>696.511975</v>
      </c>
      <c r="AG13" s="71">
        <v>26.0</v>
      </c>
      <c r="AH13" s="71">
        <v>0.0</v>
      </c>
      <c r="AI13" s="68">
        <f t="shared" si="14"/>
        <v>26</v>
      </c>
      <c r="AJ13" s="71">
        <f t="shared" ref="AJ13:AK13" si="24">AG13/1.05506</f>
        <v>24.64314826</v>
      </c>
      <c r="AK13" s="71">
        <f t="shared" si="24"/>
        <v>0</v>
      </c>
      <c r="AL13" s="68">
        <f t="shared" si="16"/>
        <v>24.64314826</v>
      </c>
    </row>
    <row r="14" ht="14.25" customHeight="1">
      <c r="B14" s="69">
        <v>45660.0</v>
      </c>
      <c r="C14" s="70"/>
      <c r="D14" s="70"/>
      <c r="E14" s="68">
        <f t="shared" si="1"/>
        <v>0</v>
      </c>
      <c r="F14" s="71">
        <v>917.0</v>
      </c>
      <c r="G14" s="71">
        <v>0.0</v>
      </c>
      <c r="H14" s="68">
        <f t="shared" si="17"/>
        <v>917</v>
      </c>
      <c r="I14" s="73">
        <f t="shared" ref="I14:J14" si="25">F14*55000*0.35/1000/0.55</f>
        <v>32095</v>
      </c>
      <c r="J14" s="73">
        <f t="shared" si="25"/>
        <v>0</v>
      </c>
      <c r="K14" s="68">
        <f t="shared" si="19"/>
        <v>32095</v>
      </c>
      <c r="L14" s="71">
        <v>6003.0</v>
      </c>
      <c r="M14" s="71">
        <v>0.0</v>
      </c>
      <c r="N14" s="68">
        <f t="shared" si="3"/>
        <v>6003</v>
      </c>
      <c r="O14" s="71">
        <v>1846.7625899280577</v>
      </c>
      <c r="P14" s="71">
        <v>0.0</v>
      </c>
      <c r="Q14" s="68">
        <f t="shared" si="4"/>
        <v>1846.76259</v>
      </c>
      <c r="R14" s="71">
        <f t="shared" ref="R14:S14" si="26">L14-O14</f>
        <v>4156.23741</v>
      </c>
      <c r="S14" s="71">
        <f t="shared" si="26"/>
        <v>0</v>
      </c>
      <c r="T14" s="68">
        <f t="shared" si="6"/>
        <v>4156.23741</v>
      </c>
      <c r="U14" s="71">
        <f t="shared" ref="U14:V14" si="27">R14*0.55</f>
        <v>2285.930576</v>
      </c>
      <c r="V14" s="71">
        <f t="shared" si="27"/>
        <v>0</v>
      </c>
      <c r="W14" s="68">
        <f t="shared" si="8"/>
        <v>2285.930576</v>
      </c>
      <c r="X14" s="71">
        <f t="shared" ref="X14:Y14" si="28">U14/0.95</f>
        <v>2406.242711</v>
      </c>
      <c r="Y14" s="71">
        <f t="shared" si="28"/>
        <v>0</v>
      </c>
      <c r="Z14" s="68">
        <f t="shared" si="10"/>
        <v>2406.242711</v>
      </c>
      <c r="AA14" s="71">
        <v>0.0</v>
      </c>
      <c r="AB14" s="71">
        <v>0.0</v>
      </c>
      <c r="AC14" s="68">
        <f t="shared" si="11"/>
        <v>0</v>
      </c>
      <c r="AD14" s="71">
        <f t="shared" ref="AD14:AE14" si="29">AA14*0.95</f>
        <v>0</v>
      </c>
      <c r="AE14" s="71">
        <f t="shared" si="29"/>
        <v>0</v>
      </c>
      <c r="AF14" s="68">
        <f t="shared" si="13"/>
        <v>0</v>
      </c>
      <c r="AG14" s="71">
        <v>0.0</v>
      </c>
      <c r="AH14" s="71">
        <v>0.0</v>
      </c>
      <c r="AI14" s="68">
        <f t="shared" si="14"/>
        <v>0</v>
      </c>
      <c r="AJ14" s="71">
        <f t="shared" ref="AJ14:AK14" si="30">AG14/1.05506</f>
        <v>0</v>
      </c>
      <c r="AK14" s="71">
        <f t="shared" si="30"/>
        <v>0</v>
      </c>
      <c r="AL14" s="68">
        <f t="shared" si="16"/>
        <v>0</v>
      </c>
    </row>
    <row r="15" ht="14.25" customHeight="1">
      <c r="B15" s="69">
        <v>45661.0</v>
      </c>
      <c r="C15" s="70"/>
      <c r="D15" s="70"/>
      <c r="E15" s="68">
        <f t="shared" si="1"/>
        <v>0</v>
      </c>
      <c r="F15" s="71">
        <v>877.0</v>
      </c>
      <c r="G15" s="71">
        <v>0.0</v>
      </c>
      <c r="H15" s="68">
        <f t="shared" si="17"/>
        <v>877</v>
      </c>
      <c r="I15" s="73">
        <f t="shared" ref="I15:J15" si="31">F15*55000*0.35/1000/0.55</f>
        <v>30695</v>
      </c>
      <c r="J15" s="73">
        <f t="shared" si="31"/>
        <v>0</v>
      </c>
      <c r="K15" s="68">
        <f t="shared" si="19"/>
        <v>30695</v>
      </c>
      <c r="L15" s="71">
        <v>11647.0</v>
      </c>
      <c r="M15" s="71">
        <v>0.0</v>
      </c>
      <c r="N15" s="68">
        <f t="shared" si="3"/>
        <v>11647</v>
      </c>
      <c r="O15" s="71">
        <v>1756.474820143885</v>
      </c>
      <c r="P15" s="71">
        <v>0.0</v>
      </c>
      <c r="Q15" s="68">
        <f t="shared" si="4"/>
        <v>1756.47482</v>
      </c>
      <c r="R15" s="71">
        <f t="shared" ref="R15:S15" si="32">L15-O15</f>
        <v>9890.52518</v>
      </c>
      <c r="S15" s="71">
        <f t="shared" si="32"/>
        <v>0</v>
      </c>
      <c r="T15" s="68">
        <f t="shared" si="6"/>
        <v>9890.52518</v>
      </c>
      <c r="U15" s="71">
        <f t="shared" ref="U15:V15" si="33">R15*0.55</f>
        <v>5439.788849</v>
      </c>
      <c r="V15" s="71">
        <f t="shared" si="33"/>
        <v>0</v>
      </c>
      <c r="W15" s="68">
        <f t="shared" si="8"/>
        <v>5439.788849</v>
      </c>
      <c r="X15" s="71">
        <f t="shared" ref="X15:Y15" si="34">U15/0.95</f>
        <v>5726.093525</v>
      </c>
      <c r="Y15" s="71">
        <f t="shared" si="34"/>
        <v>0</v>
      </c>
      <c r="Z15" s="68">
        <f t="shared" si="10"/>
        <v>5726.093525</v>
      </c>
      <c r="AA15" s="71">
        <v>0.0</v>
      </c>
      <c r="AB15" s="71">
        <v>0.0</v>
      </c>
      <c r="AC15" s="68">
        <f t="shared" si="11"/>
        <v>0</v>
      </c>
      <c r="AD15" s="71">
        <f t="shared" ref="AD15:AE15" si="35">AA15*0.95</f>
        <v>0</v>
      </c>
      <c r="AE15" s="71">
        <f t="shared" si="35"/>
        <v>0</v>
      </c>
      <c r="AF15" s="68">
        <f t="shared" si="13"/>
        <v>0</v>
      </c>
      <c r="AG15" s="71">
        <v>0.0</v>
      </c>
      <c r="AH15" s="71">
        <v>0.0</v>
      </c>
      <c r="AI15" s="68">
        <f t="shared" si="14"/>
        <v>0</v>
      </c>
      <c r="AJ15" s="71">
        <f t="shared" ref="AJ15:AK15" si="36">AG15/1.05506</f>
        <v>0</v>
      </c>
      <c r="AK15" s="71">
        <f t="shared" si="36"/>
        <v>0</v>
      </c>
      <c r="AL15" s="68">
        <f t="shared" si="16"/>
        <v>0</v>
      </c>
    </row>
    <row r="16" ht="14.25" customHeight="1">
      <c r="B16" s="69">
        <v>45662.0</v>
      </c>
      <c r="C16" s="70"/>
      <c r="D16" s="70"/>
      <c r="E16" s="68">
        <f t="shared" si="1"/>
        <v>0</v>
      </c>
      <c r="F16" s="71">
        <v>148.0</v>
      </c>
      <c r="G16" s="71">
        <v>0.0</v>
      </c>
      <c r="H16" s="68">
        <f t="shared" si="17"/>
        <v>148</v>
      </c>
      <c r="I16" s="73">
        <f t="shared" ref="I16:J16" si="37">F16*55000*0.35/1000/0.55</f>
        <v>5180</v>
      </c>
      <c r="J16" s="73">
        <f t="shared" si="37"/>
        <v>0</v>
      </c>
      <c r="K16" s="68">
        <f t="shared" si="19"/>
        <v>5180</v>
      </c>
      <c r="L16" s="71">
        <v>9948.0</v>
      </c>
      <c r="M16" s="71">
        <v>0.0</v>
      </c>
      <c r="N16" s="68">
        <f t="shared" si="3"/>
        <v>9948</v>
      </c>
      <c r="O16" s="71">
        <v>1679.4964028776978</v>
      </c>
      <c r="P16" s="71">
        <v>0.0</v>
      </c>
      <c r="Q16" s="68">
        <f t="shared" si="4"/>
        <v>1679.496403</v>
      </c>
      <c r="R16" s="71">
        <f t="shared" ref="R16:S16" si="38">L16-O16</f>
        <v>8268.503597</v>
      </c>
      <c r="S16" s="71">
        <f t="shared" si="38"/>
        <v>0</v>
      </c>
      <c r="T16" s="68">
        <f t="shared" si="6"/>
        <v>8268.503597</v>
      </c>
      <c r="U16" s="71">
        <f t="shared" ref="U16:V16" si="39">R16*0.55</f>
        <v>4547.676978</v>
      </c>
      <c r="V16" s="71">
        <f t="shared" si="39"/>
        <v>0</v>
      </c>
      <c r="W16" s="68">
        <f t="shared" si="8"/>
        <v>4547.676978</v>
      </c>
      <c r="X16" s="71">
        <f t="shared" ref="X16:Y16" si="40">U16/0.95</f>
        <v>4787.028398</v>
      </c>
      <c r="Y16" s="71">
        <f t="shared" si="40"/>
        <v>0</v>
      </c>
      <c r="Z16" s="68">
        <f t="shared" si="10"/>
        <v>4787.028398</v>
      </c>
      <c r="AA16" s="71">
        <v>0.0</v>
      </c>
      <c r="AB16" s="71">
        <v>0.0</v>
      </c>
      <c r="AC16" s="68">
        <f t="shared" si="11"/>
        <v>0</v>
      </c>
      <c r="AD16" s="71">
        <f t="shared" ref="AD16:AE16" si="41">AA16*0.95</f>
        <v>0</v>
      </c>
      <c r="AE16" s="71">
        <f t="shared" si="41"/>
        <v>0</v>
      </c>
      <c r="AF16" s="68">
        <f t="shared" si="13"/>
        <v>0</v>
      </c>
      <c r="AG16" s="71">
        <v>0.0</v>
      </c>
      <c r="AH16" s="71">
        <v>0.0</v>
      </c>
      <c r="AI16" s="68">
        <f t="shared" si="14"/>
        <v>0</v>
      </c>
      <c r="AJ16" s="71">
        <f t="shared" ref="AJ16:AK16" si="42">AG16/1.05506</f>
        <v>0</v>
      </c>
      <c r="AK16" s="71">
        <f t="shared" si="42"/>
        <v>0</v>
      </c>
      <c r="AL16" s="68">
        <f t="shared" si="16"/>
        <v>0</v>
      </c>
    </row>
    <row r="17" ht="14.25" customHeight="1">
      <c r="B17" s="69">
        <v>45663.0</v>
      </c>
      <c r="C17" s="70"/>
      <c r="D17" s="70"/>
      <c r="E17" s="68">
        <f t="shared" si="1"/>
        <v>0</v>
      </c>
      <c r="F17" s="71">
        <v>869.0</v>
      </c>
      <c r="G17" s="71">
        <v>0.0</v>
      </c>
      <c r="H17" s="68">
        <f t="shared" si="17"/>
        <v>869</v>
      </c>
      <c r="I17" s="73">
        <f t="shared" ref="I17:J17" si="43">F17*55000*0.35/1000/0.55</f>
        <v>30415</v>
      </c>
      <c r="J17" s="73">
        <f t="shared" si="43"/>
        <v>0</v>
      </c>
      <c r="K17" s="68">
        <f t="shared" si="19"/>
        <v>30415</v>
      </c>
      <c r="L17" s="71">
        <v>17359.0</v>
      </c>
      <c r="M17" s="71">
        <v>0.0</v>
      </c>
      <c r="N17" s="68">
        <f t="shared" si="3"/>
        <v>17359</v>
      </c>
      <c r="O17" s="71">
        <v>2333.812949640288</v>
      </c>
      <c r="P17" s="71">
        <v>0.0</v>
      </c>
      <c r="Q17" s="68">
        <f t="shared" si="4"/>
        <v>2333.81295</v>
      </c>
      <c r="R17" s="71">
        <f t="shared" ref="R17:S17" si="44">L17-O17</f>
        <v>15025.18705</v>
      </c>
      <c r="S17" s="71">
        <f t="shared" si="44"/>
        <v>0</v>
      </c>
      <c r="T17" s="68">
        <f t="shared" si="6"/>
        <v>15025.18705</v>
      </c>
      <c r="U17" s="71">
        <f t="shared" ref="U17:V17" si="45">R17*0.55</f>
        <v>8263.852878</v>
      </c>
      <c r="V17" s="71">
        <f t="shared" si="45"/>
        <v>0</v>
      </c>
      <c r="W17" s="68">
        <f t="shared" si="8"/>
        <v>8263.852878</v>
      </c>
      <c r="X17" s="71">
        <f t="shared" ref="X17:Y17" si="46">U17/0.95</f>
        <v>8698.792503</v>
      </c>
      <c r="Y17" s="71">
        <f t="shared" si="46"/>
        <v>0</v>
      </c>
      <c r="Z17" s="68">
        <f t="shared" si="10"/>
        <v>8698.792503</v>
      </c>
      <c r="AA17" s="71">
        <v>5817.2194</v>
      </c>
      <c r="AB17" s="71">
        <v>0.0</v>
      </c>
      <c r="AC17" s="68">
        <f t="shared" si="11"/>
        <v>5817.2194</v>
      </c>
      <c r="AD17" s="71">
        <f t="shared" ref="AD17:AE17" si="47">AA17*0.95</f>
        <v>5526.35843</v>
      </c>
      <c r="AE17" s="71">
        <f t="shared" si="47"/>
        <v>0</v>
      </c>
      <c r="AF17" s="68">
        <f t="shared" si="13"/>
        <v>5526.35843</v>
      </c>
      <c r="AG17" s="71">
        <v>212.0</v>
      </c>
      <c r="AH17" s="71">
        <v>0.0</v>
      </c>
      <c r="AI17" s="68">
        <f t="shared" si="14"/>
        <v>212</v>
      </c>
      <c r="AJ17" s="71">
        <f t="shared" ref="AJ17:AK17" si="48">AG17/1.05506</f>
        <v>200.9364396</v>
      </c>
      <c r="AK17" s="71">
        <f t="shared" si="48"/>
        <v>0</v>
      </c>
      <c r="AL17" s="68">
        <f t="shared" si="16"/>
        <v>200.9364396</v>
      </c>
    </row>
    <row r="18" ht="14.25" customHeight="1">
      <c r="B18" s="69">
        <v>45664.0</v>
      </c>
      <c r="C18" s="70"/>
      <c r="D18" s="70"/>
      <c r="E18" s="68">
        <f t="shared" si="1"/>
        <v>0</v>
      </c>
      <c r="F18" s="71">
        <v>834.0</v>
      </c>
      <c r="G18" s="71">
        <v>0.0</v>
      </c>
      <c r="H18" s="68">
        <f t="shared" si="17"/>
        <v>834</v>
      </c>
      <c r="I18" s="73">
        <f t="shared" ref="I18:J18" si="49">F18*55000*0.35/1000/0.55</f>
        <v>29190</v>
      </c>
      <c r="J18" s="73">
        <f t="shared" si="49"/>
        <v>0</v>
      </c>
      <c r="K18" s="68">
        <f t="shared" si="19"/>
        <v>29190</v>
      </c>
      <c r="L18" s="71">
        <v>25384.0</v>
      </c>
      <c r="M18" s="71">
        <v>0.0</v>
      </c>
      <c r="N18" s="68">
        <f t="shared" si="3"/>
        <v>25384</v>
      </c>
      <c r="O18" s="71">
        <v>3304.676258992806</v>
      </c>
      <c r="P18" s="71">
        <v>0.0</v>
      </c>
      <c r="Q18" s="68">
        <f t="shared" si="4"/>
        <v>3304.676259</v>
      </c>
      <c r="R18" s="71">
        <f t="shared" ref="R18:S18" si="50">L18-O18</f>
        <v>22079.32374</v>
      </c>
      <c r="S18" s="71">
        <f t="shared" si="50"/>
        <v>0</v>
      </c>
      <c r="T18" s="68">
        <f t="shared" si="6"/>
        <v>22079.32374</v>
      </c>
      <c r="U18" s="71">
        <f t="shared" ref="U18:V18" si="51">R18*0.55</f>
        <v>12143.62806</v>
      </c>
      <c r="V18" s="71">
        <f t="shared" si="51"/>
        <v>0</v>
      </c>
      <c r="W18" s="68">
        <f t="shared" si="8"/>
        <v>12143.62806</v>
      </c>
      <c r="X18" s="71">
        <f t="shared" ref="X18:Y18" si="52">U18/0.95</f>
        <v>12782.76638</v>
      </c>
      <c r="Y18" s="71">
        <f t="shared" si="52"/>
        <v>0</v>
      </c>
      <c r="Z18" s="68">
        <f t="shared" si="10"/>
        <v>12782.76638</v>
      </c>
      <c r="AA18" s="71">
        <v>8088.5393</v>
      </c>
      <c r="AB18" s="71">
        <v>0.0</v>
      </c>
      <c r="AC18" s="68">
        <f t="shared" si="11"/>
        <v>8088.5393</v>
      </c>
      <c r="AD18" s="71">
        <f t="shared" ref="AD18:AE18" si="53">AA18*0.95</f>
        <v>7684.112335</v>
      </c>
      <c r="AE18" s="71">
        <f t="shared" si="53"/>
        <v>0</v>
      </c>
      <c r="AF18" s="68">
        <f t="shared" si="13"/>
        <v>7684.112335</v>
      </c>
      <c r="AG18" s="71">
        <v>294.0</v>
      </c>
      <c r="AH18" s="71">
        <v>0.0</v>
      </c>
      <c r="AI18" s="68">
        <f t="shared" si="14"/>
        <v>294</v>
      </c>
      <c r="AJ18" s="71">
        <f t="shared" ref="AJ18:AK18" si="54">AG18/1.05506</f>
        <v>278.657138</v>
      </c>
      <c r="AK18" s="71">
        <f t="shared" si="54"/>
        <v>0</v>
      </c>
      <c r="AL18" s="68">
        <f t="shared" si="16"/>
        <v>278.657138</v>
      </c>
    </row>
    <row r="19" ht="14.25" customHeight="1">
      <c r="B19" s="69">
        <v>45665.0</v>
      </c>
      <c r="C19" s="70"/>
      <c r="D19" s="70"/>
      <c r="E19" s="68">
        <f t="shared" si="1"/>
        <v>0</v>
      </c>
      <c r="F19" s="71">
        <v>802.0</v>
      </c>
      <c r="G19" s="71">
        <v>0.0</v>
      </c>
      <c r="H19" s="68">
        <f t="shared" si="17"/>
        <v>802</v>
      </c>
      <c r="I19" s="73">
        <f t="shared" ref="I19:J19" si="55">F19*55000*0.35/1000/0.55</f>
        <v>28070</v>
      </c>
      <c r="J19" s="73">
        <f t="shared" si="55"/>
        <v>0</v>
      </c>
      <c r="K19" s="68">
        <f t="shared" si="19"/>
        <v>28070</v>
      </c>
      <c r="L19" s="71">
        <v>24516.0</v>
      </c>
      <c r="M19" s="71">
        <v>0.0</v>
      </c>
      <c r="N19" s="68">
        <f t="shared" si="3"/>
        <v>24516</v>
      </c>
      <c r="O19" s="71">
        <v>3148.9208633093526</v>
      </c>
      <c r="P19" s="71">
        <v>0.0</v>
      </c>
      <c r="Q19" s="68">
        <f t="shared" si="4"/>
        <v>3148.920863</v>
      </c>
      <c r="R19" s="71">
        <f t="shared" ref="R19:S19" si="56">L19-O19</f>
        <v>21367.07914</v>
      </c>
      <c r="S19" s="71">
        <f t="shared" si="56"/>
        <v>0</v>
      </c>
      <c r="T19" s="68">
        <f t="shared" si="6"/>
        <v>21367.07914</v>
      </c>
      <c r="U19" s="71">
        <f t="shared" ref="U19:V19" si="57">R19*0.55</f>
        <v>11751.89353</v>
      </c>
      <c r="V19" s="71">
        <f t="shared" si="57"/>
        <v>0</v>
      </c>
      <c r="W19" s="68">
        <f t="shared" si="8"/>
        <v>11751.89353</v>
      </c>
      <c r="X19" s="71">
        <f t="shared" ref="X19:Y19" si="58">U19/0.95</f>
        <v>12370.41424</v>
      </c>
      <c r="Y19" s="71">
        <f t="shared" si="58"/>
        <v>0</v>
      </c>
      <c r="Z19" s="68">
        <f t="shared" si="10"/>
        <v>12370.41424</v>
      </c>
      <c r="AA19" s="71">
        <v>7143.1244</v>
      </c>
      <c r="AB19" s="71">
        <v>0.0</v>
      </c>
      <c r="AC19" s="68">
        <f t="shared" si="11"/>
        <v>7143.1244</v>
      </c>
      <c r="AD19" s="71">
        <f t="shared" ref="AD19:AE19" si="59">AA19*0.95</f>
        <v>6785.96818</v>
      </c>
      <c r="AE19" s="71">
        <f t="shared" si="59"/>
        <v>0</v>
      </c>
      <c r="AF19" s="68">
        <f t="shared" si="13"/>
        <v>6785.96818</v>
      </c>
      <c r="AG19" s="71">
        <v>260.0</v>
      </c>
      <c r="AH19" s="71">
        <v>0.0</v>
      </c>
      <c r="AI19" s="68">
        <f t="shared" si="14"/>
        <v>260</v>
      </c>
      <c r="AJ19" s="71">
        <f t="shared" ref="AJ19:AK19" si="60">AG19/1.05506</f>
        <v>246.4314826</v>
      </c>
      <c r="AK19" s="71">
        <f t="shared" si="60"/>
        <v>0</v>
      </c>
      <c r="AL19" s="68">
        <f t="shared" si="16"/>
        <v>246.4314826</v>
      </c>
    </row>
    <row r="20" ht="14.25" customHeight="1">
      <c r="B20" s="69">
        <v>45666.0</v>
      </c>
      <c r="C20" s="70"/>
      <c r="D20" s="70"/>
      <c r="E20" s="68">
        <f t="shared" si="1"/>
        <v>0</v>
      </c>
      <c r="F20" s="71">
        <v>827.0</v>
      </c>
      <c r="G20" s="71">
        <v>0.0</v>
      </c>
      <c r="H20" s="68">
        <f t="shared" si="17"/>
        <v>827</v>
      </c>
      <c r="I20" s="73">
        <f t="shared" ref="I20:J20" si="61">F20*55000*0.35/1000/0.55</f>
        <v>28945</v>
      </c>
      <c r="J20" s="73">
        <f t="shared" si="61"/>
        <v>0</v>
      </c>
      <c r="K20" s="68">
        <f t="shared" si="19"/>
        <v>28945</v>
      </c>
      <c r="L20" s="71">
        <v>25030.0</v>
      </c>
      <c r="M20" s="71">
        <v>0.0</v>
      </c>
      <c r="N20" s="68">
        <f t="shared" si="3"/>
        <v>25030</v>
      </c>
      <c r="O20" s="71">
        <v>3144.244604316547</v>
      </c>
      <c r="P20" s="71">
        <v>0.0</v>
      </c>
      <c r="Q20" s="68">
        <f t="shared" si="4"/>
        <v>3144.244604</v>
      </c>
      <c r="R20" s="71">
        <f t="shared" ref="R20:S20" si="62">L20-O20</f>
        <v>21885.7554</v>
      </c>
      <c r="S20" s="71">
        <f t="shared" si="62"/>
        <v>0</v>
      </c>
      <c r="T20" s="68">
        <f t="shared" si="6"/>
        <v>21885.7554</v>
      </c>
      <c r="U20" s="71">
        <f t="shared" ref="U20:V20" si="63">R20*0.55</f>
        <v>12037.16547</v>
      </c>
      <c r="V20" s="71">
        <f t="shared" si="63"/>
        <v>0</v>
      </c>
      <c r="W20" s="68">
        <f t="shared" si="8"/>
        <v>12037.16547</v>
      </c>
      <c r="X20" s="71">
        <f t="shared" ref="X20:Y20" si="64">U20/0.95</f>
        <v>12670.70049</v>
      </c>
      <c r="Y20" s="71">
        <f t="shared" si="64"/>
        <v>0</v>
      </c>
      <c r="Z20" s="68">
        <f t="shared" si="10"/>
        <v>12670.70049</v>
      </c>
      <c r="AA20" s="71">
        <v>233.0795</v>
      </c>
      <c r="AB20" s="71">
        <v>0.0</v>
      </c>
      <c r="AC20" s="68">
        <f t="shared" si="11"/>
        <v>233.0795</v>
      </c>
      <c r="AD20" s="71">
        <f t="shared" ref="AD20:AE20" si="65">AA20*0.95</f>
        <v>221.425525</v>
      </c>
      <c r="AE20" s="71">
        <f t="shared" si="65"/>
        <v>0</v>
      </c>
      <c r="AF20" s="68">
        <f t="shared" si="13"/>
        <v>221.425525</v>
      </c>
      <c r="AG20" s="71">
        <v>9.0</v>
      </c>
      <c r="AH20" s="71">
        <v>0.0</v>
      </c>
      <c r="AI20" s="68">
        <f t="shared" si="14"/>
        <v>9</v>
      </c>
      <c r="AJ20" s="71">
        <f t="shared" ref="AJ20:AK20" si="66">AG20/1.05506</f>
        <v>8.53032055</v>
      </c>
      <c r="AK20" s="71">
        <f t="shared" si="66"/>
        <v>0</v>
      </c>
      <c r="AL20" s="68">
        <f t="shared" si="16"/>
        <v>8.53032055</v>
      </c>
    </row>
    <row r="21" ht="14.25" customHeight="1">
      <c r="B21" s="69">
        <v>45667.0</v>
      </c>
      <c r="C21" s="70"/>
      <c r="D21" s="70"/>
      <c r="E21" s="68">
        <f t="shared" si="1"/>
        <v>0</v>
      </c>
      <c r="F21" s="71">
        <v>1237.0</v>
      </c>
      <c r="G21" s="71">
        <v>0.0</v>
      </c>
      <c r="H21" s="68">
        <f t="shared" si="17"/>
        <v>1237</v>
      </c>
      <c r="I21" s="73">
        <f t="shared" ref="I21:J21" si="67">F21*55000*0.35/1000/0.55</f>
        <v>43295</v>
      </c>
      <c r="J21" s="73">
        <f t="shared" si="67"/>
        <v>0</v>
      </c>
      <c r="K21" s="68">
        <f t="shared" si="19"/>
        <v>43295</v>
      </c>
      <c r="L21" s="71">
        <v>25134.0</v>
      </c>
      <c r="M21" s="71">
        <v>0.0</v>
      </c>
      <c r="N21" s="68">
        <f t="shared" si="3"/>
        <v>25134</v>
      </c>
      <c r="O21" s="71">
        <v>3106.474820143885</v>
      </c>
      <c r="P21" s="71">
        <v>0.0</v>
      </c>
      <c r="Q21" s="68">
        <f t="shared" si="4"/>
        <v>3106.47482</v>
      </c>
      <c r="R21" s="71">
        <f t="shared" ref="R21:S21" si="68">L21-O21</f>
        <v>22027.52518</v>
      </c>
      <c r="S21" s="71">
        <f t="shared" si="68"/>
        <v>0</v>
      </c>
      <c r="T21" s="68">
        <f t="shared" si="6"/>
        <v>22027.52518</v>
      </c>
      <c r="U21" s="71">
        <f t="shared" ref="U21:V21" si="69">R21*0.55</f>
        <v>12115.13885</v>
      </c>
      <c r="V21" s="71">
        <f t="shared" si="69"/>
        <v>0</v>
      </c>
      <c r="W21" s="68">
        <f t="shared" si="8"/>
        <v>12115.13885</v>
      </c>
      <c r="X21" s="71">
        <f t="shared" ref="X21:Y21" si="70">U21/0.95</f>
        <v>12752.77774</v>
      </c>
      <c r="Y21" s="71">
        <f t="shared" si="70"/>
        <v>0</v>
      </c>
      <c r="Z21" s="68">
        <f t="shared" si="10"/>
        <v>12752.77774</v>
      </c>
      <c r="AA21" s="71">
        <v>4514.2401</v>
      </c>
      <c r="AB21" s="71">
        <v>0.0</v>
      </c>
      <c r="AC21" s="68">
        <f t="shared" si="11"/>
        <v>4514.2401</v>
      </c>
      <c r="AD21" s="71">
        <f t="shared" ref="AD21:AE21" si="71">AA21*0.95</f>
        <v>4288.528095</v>
      </c>
      <c r="AE21" s="71">
        <f t="shared" si="71"/>
        <v>0</v>
      </c>
      <c r="AF21" s="68">
        <f t="shared" si="13"/>
        <v>4288.528095</v>
      </c>
      <c r="AG21" s="71">
        <v>166.0</v>
      </c>
      <c r="AH21" s="71">
        <v>0.0</v>
      </c>
      <c r="AI21" s="68">
        <f t="shared" si="14"/>
        <v>166</v>
      </c>
      <c r="AJ21" s="71">
        <f t="shared" ref="AJ21:AK21" si="72">AG21/1.05506</f>
        <v>157.3370235</v>
      </c>
      <c r="AK21" s="71">
        <f t="shared" si="72"/>
        <v>0</v>
      </c>
      <c r="AL21" s="68">
        <f t="shared" si="16"/>
        <v>157.3370235</v>
      </c>
    </row>
    <row r="22" ht="14.25" customHeight="1">
      <c r="B22" s="69">
        <v>45668.0</v>
      </c>
      <c r="C22" s="70"/>
      <c r="D22" s="70"/>
      <c r="E22" s="68">
        <f t="shared" si="1"/>
        <v>0</v>
      </c>
      <c r="F22" s="71">
        <v>393.0</v>
      </c>
      <c r="G22" s="71">
        <v>0.0</v>
      </c>
      <c r="H22" s="68">
        <f t="shared" si="17"/>
        <v>393</v>
      </c>
      <c r="I22" s="73">
        <f t="shared" ref="I22:J22" si="73">F22*55000*0.35/1000/0.55</f>
        <v>13755</v>
      </c>
      <c r="J22" s="73">
        <f t="shared" si="73"/>
        <v>0</v>
      </c>
      <c r="K22" s="68">
        <f t="shared" si="19"/>
        <v>13755</v>
      </c>
      <c r="L22" s="71">
        <v>22882.0</v>
      </c>
      <c r="M22" s="71">
        <v>0.0</v>
      </c>
      <c r="N22" s="68">
        <f t="shared" si="3"/>
        <v>22882</v>
      </c>
      <c r="O22" s="71">
        <v>3543.884892086331</v>
      </c>
      <c r="P22" s="71">
        <v>0.0</v>
      </c>
      <c r="Q22" s="68">
        <f t="shared" si="4"/>
        <v>3543.884892</v>
      </c>
      <c r="R22" s="71">
        <f t="shared" ref="R22:S22" si="74">L22-O22</f>
        <v>19338.11511</v>
      </c>
      <c r="S22" s="71">
        <f t="shared" si="74"/>
        <v>0</v>
      </c>
      <c r="T22" s="68">
        <f t="shared" si="6"/>
        <v>19338.11511</v>
      </c>
      <c r="U22" s="71">
        <f t="shared" ref="U22:V22" si="75">R22*0.55</f>
        <v>10635.96331</v>
      </c>
      <c r="V22" s="71">
        <f t="shared" si="75"/>
        <v>0</v>
      </c>
      <c r="W22" s="68">
        <f t="shared" si="8"/>
        <v>10635.96331</v>
      </c>
      <c r="X22" s="71">
        <f t="shared" ref="X22:Y22" si="76">U22/0.95</f>
        <v>11195.75085</v>
      </c>
      <c r="Y22" s="71">
        <f t="shared" si="76"/>
        <v>0</v>
      </c>
      <c r="Z22" s="68">
        <f t="shared" si="10"/>
        <v>11195.75085</v>
      </c>
      <c r="AA22" s="71">
        <v>3732.1285</v>
      </c>
      <c r="AB22" s="71">
        <v>0.0</v>
      </c>
      <c r="AC22" s="68">
        <f t="shared" si="11"/>
        <v>3732.1285</v>
      </c>
      <c r="AD22" s="71">
        <f t="shared" ref="AD22:AE22" si="77">AA22*0.95</f>
        <v>3545.522075</v>
      </c>
      <c r="AE22" s="71">
        <f t="shared" si="77"/>
        <v>0</v>
      </c>
      <c r="AF22" s="68">
        <f t="shared" si="13"/>
        <v>3545.522075</v>
      </c>
      <c r="AG22" s="71">
        <v>138.0</v>
      </c>
      <c r="AH22" s="71">
        <v>0.0</v>
      </c>
      <c r="AI22" s="68">
        <f t="shared" si="14"/>
        <v>138</v>
      </c>
      <c r="AJ22" s="71">
        <f t="shared" ref="AJ22:AK22" si="78">AG22/1.05506</f>
        <v>130.7982484</v>
      </c>
      <c r="AK22" s="71">
        <f t="shared" si="78"/>
        <v>0</v>
      </c>
      <c r="AL22" s="68">
        <f t="shared" si="16"/>
        <v>130.7982484</v>
      </c>
    </row>
    <row r="23" ht="14.25" customHeight="1">
      <c r="B23" s="69">
        <v>45669.0</v>
      </c>
      <c r="C23" s="70"/>
      <c r="D23" s="70"/>
      <c r="E23" s="68">
        <f t="shared" si="1"/>
        <v>0</v>
      </c>
      <c r="F23" s="71">
        <v>200.0</v>
      </c>
      <c r="G23" s="71">
        <v>0.0</v>
      </c>
      <c r="H23" s="68">
        <f t="shared" si="17"/>
        <v>200</v>
      </c>
      <c r="I23" s="73">
        <f t="shared" ref="I23:J23" si="79">F23*55000*0.35/1000/0.55</f>
        <v>7000</v>
      </c>
      <c r="J23" s="73">
        <f t="shared" si="79"/>
        <v>0</v>
      </c>
      <c r="K23" s="68">
        <f t="shared" si="19"/>
        <v>7000</v>
      </c>
      <c r="L23" s="71">
        <v>23496.0</v>
      </c>
      <c r="M23" s="71">
        <v>0.0</v>
      </c>
      <c r="N23" s="68">
        <f t="shared" si="3"/>
        <v>23496</v>
      </c>
      <c r="O23" s="71">
        <v>3597.8417266187053</v>
      </c>
      <c r="P23" s="71">
        <v>0.0</v>
      </c>
      <c r="Q23" s="68">
        <f t="shared" si="4"/>
        <v>3597.841727</v>
      </c>
      <c r="R23" s="71">
        <f t="shared" ref="R23:S23" si="80">L23-O23</f>
        <v>19898.15827</v>
      </c>
      <c r="S23" s="71">
        <f t="shared" si="80"/>
        <v>0</v>
      </c>
      <c r="T23" s="68">
        <f t="shared" si="6"/>
        <v>19898.15827</v>
      </c>
      <c r="U23" s="71">
        <f t="shared" ref="U23:V23" si="81">R23*0.55</f>
        <v>10943.98705</v>
      </c>
      <c r="V23" s="71">
        <f t="shared" si="81"/>
        <v>0</v>
      </c>
      <c r="W23" s="68">
        <f t="shared" si="8"/>
        <v>10943.98705</v>
      </c>
      <c r="X23" s="71">
        <f t="shared" ref="X23:Y23" si="82">U23/0.95</f>
        <v>11519.98637</v>
      </c>
      <c r="Y23" s="71">
        <f t="shared" si="82"/>
        <v>0</v>
      </c>
      <c r="Z23" s="68">
        <f t="shared" si="10"/>
        <v>11519.98637</v>
      </c>
      <c r="AA23" s="71">
        <v>1629.0557</v>
      </c>
      <c r="AB23" s="71">
        <v>0.0</v>
      </c>
      <c r="AC23" s="68">
        <f t="shared" si="11"/>
        <v>1629.0557</v>
      </c>
      <c r="AD23" s="71">
        <f t="shared" ref="AD23:AE23" si="83">AA23*0.95</f>
        <v>1547.602915</v>
      </c>
      <c r="AE23" s="71">
        <f t="shared" si="83"/>
        <v>0</v>
      </c>
      <c r="AF23" s="68">
        <f t="shared" si="13"/>
        <v>1547.602915</v>
      </c>
      <c r="AG23" s="71">
        <v>59.0</v>
      </c>
      <c r="AH23" s="71">
        <v>0.0</v>
      </c>
      <c r="AI23" s="68">
        <f t="shared" si="14"/>
        <v>59</v>
      </c>
      <c r="AJ23" s="71">
        <f t="shared" ref="AJ23:AK23" si="84">AG23/1.05506</f>
        <v>55.92099028</v>
      </c>
      <c r="AK23" s="71">
        <f t="shared" si="84"/>
        <v>0</v>
      </c>
      <c r="AL23" s="68">
        <f t="shared" si="16"/>
        <v>55.92099028</v>
      </c>
    </row>
    <row r="24" ht="14.25" customHeight="1">
      <c r="B24" s="69">
        <v>45670.0</v>
      </c>
      <c r="C24" s="70"/>
      <c r="D24" s="70"/>
      <c r="E24" s="68">
        <f t="shared" si="1"/>
        <v>0</v>
      </c>
      <c r="F24" s="71">
        <v>1306.0</v>
      </c>
      <c r="G24" s="71">
        <v>0.0</v>
      </c>
      <c r="H24" s="68">
        <f t="shared" si="17"/>
        <v>1306</v>
      </c>
      <c r="I24" s="73">
        <f t="shared" ref="I24:J24" si="85">F24*55000*0.35/1000/0.55</f>
        <v>45710</v>
      </c>
      <c r="J24" s="73">
        <f t="shared" si="85"/>
        <v>0</v>
      </c>
      <c r="K24" s="68">
        <f t="shared" si="19"/>
        <v>45710</v>
      </c>
      <c r="L24" s="71">
        <v>25688.0</v>
      </c>
      <c r="M24" s="71">
        <v>0.0</v>
      </c>
      <c r="N24" s="68">
        <f t="shared" si="3"/>
        <v>25688</v>
      </c>
      <c r="O24" s="71">
        <v>3552.877697841727</v>
      </c>
      <c r="P24" s="71">
        <v>0.0</v>
      </c>
      <c r="Q24" s="68">
        <f t="shared" si="4"/>
        <v>3552.877698</v>
      </c>
      <c r="R24" s="71">
        <f t="shared" ref="R24:S24" si="86">L24-O24</f>
        <v>22135.1223</v>
      </c>
      <c r="S24" s="71">
        <f t="shared" si="86"/>
        <v>0</v>
      </c>
      <c r="T24" s="68">
        <f t="shared" si="6"/>
        <v>22135.1223</v>
      </c>
      <c r="U24" s="71">
        <f t="shared" ref="U24:V24" si="87">R24*0.55</f>
        <v>12174.31727</v>
      </c>
      <c r="V24" s="71">
        <f t="shared" si="87"/>
        <v>0</v>
      </c>
      <c r="W24" s="68">
        <f t="shared" si="8"/>
        <v>12174.31727</v>
      </c>
      <c r="X24" s="71">
        <f t="shared" ref="X24:Y24" si="88">U24/0.95</f>
        <v>12815.07081</v>
      </c>
      <c r="Y24" s="71">
        <f t="shared" si="88"/>
        <v>0</v>
      </c>
      <c r="Z24" s="68">
        <f t="shared" si="10"/>
        <v>12815.07081</v>
      </c>
      <c r="AA24" s="71">
        <v>1027.0324</v>
      </c>
      <c r="AB24" s="71">
        <v>0.0</v>
      </c>
      <c r="AC24" s="68">
        <f t="shared" si="11"/>
        <v>1027.0324</v>
      </c>
      <c r="AD24" s="71">
        <f t="shared" ref="AD24:AE24" si="89">AA24*0.95</f>
        <v>975.68078</v>
      </c>
      <c r="AE24" s="71">
        <f t="shared" si="89"/>
        <v>0</v>
      </c>
      <c r="AF24" s="68">
        <f t="shared" si="13"/>
        <v>975.68078</v>
      </c>
      <c r="AG24" s="71">
        <v>37.0</v>
      </c>
      <c r="AH24" s="71">
        <v>0.0</v>
      </c>
      <c r="AI24" s="68">
        <f t="shared" si="14"/>
        <v>37</v>
      </c>
      <c r="AJ24" s="71">
        <f t="shared" ref="AJ24:AK24" si="90">AG24/1.05506</f>
        <v>35.0690956</v>
      </c>
      <c r="AK24" s="71">
        <f t="shared" si="90"/>
        <v>0</v>
      </c>
      <c r="AL24" s="68">
        <f t="shared" si="16"/>
        <v>35.0690956</v>
      </c>
    </row>
    <row r="25" ht="14.25" customHeight="1">
      <c r="B25" s="69">
        <v>45671.0</v>
      </c>
      <c r="C25" s="70"/>
      <c r="D25" s="70"/>
      <c r="E25" s="68">
        <f t="shared" si="1"/>
        <v>0</v>
      </c>
      <c r="F25" s="71">
        <v>1086.0</v>
      </c>
      <c r="G25" s="71">
        <v>0.0</v>
      </c>
      <c r="H25" s="68">
        <f t="shared" si="17"/>
        <v>1086</v>
      </c>
      <c r="I25" s="73">
        <f t="shared" ref="I25:J25" si="91">F25*55000*0.35/1000/0.55</f>
        <v>38010</v>
      </c>
      <c r="J25" s="73">
        <f t="shared" si="91"/>
        <v>0</v>
      </c>
      <c r="K25" s="68">
        <f t="shared" si="19"/>
        <v>38010</v>
      </c>
      <c r="L25" s="71">
        <v>24928.0</v>
      </c>
      <c r="M25" s="71">
        <v>0.0</v>
      </c>
      <c r="N25" s="68">
        <f t="shared" si="3"/>
        <v>24928</v>
      </c>
      <c r="O25" s="71">
        <v>3123.381294964029</v>
      </c>
      <c r="P25" s="71">
        <v>0.0</v>
      </c>
      <c r="Q25" s="68">
        <f t="shared" si="4"/>
        <v>3123.381295</v>
      </c>
      <c r="R25" s="71">
        <f t="shared" ref="R25:S25" si="92">L25-O25</f>
        <v>21804.61871</v>
      </c>
      <c r="S25" s="71">
        <f t="shared" si="92"/>
        <v>0</v>
      </c>
      <c r="T25" s="68">
        <f t="shared" si="6"/>
        <v>21804.61871</v>
      </c>
      <c r="U25" s="71">
        <f t="shared" ref="U25:V25" si="93">R25*0.55</f>
        <v>11992.54029</v>
      </c>
      <c r="V25" s="71">
        <f t="shared" si="93"/>
        <v>0</v>
      </c>
      <c r="W25" s="68">
        <f t="shared" si="8"/>
        <v>11992.54029</v>
      </c>
      <c r="X25" s="71">
        <f t="shared" ref="X25:Y25" si="94">U25/0.95</f>
        <v>12623.72662</v>
      </c>
      <c r="Y25" s="71">
        <f t="shared" si="94"/>
        <v>0</v>
      </c>
      <c r="Z25" s="68">
        <f t="shared" si="10"/>
        <v>12623.72662</v>
      </c>
      <c r="AA25" s="71">
        <v>2162.32</v>
      </c>
      <c r="AB25" s="71">
        <v>0.0</v>
      </c>
      <c r="AC25" s="68">
        <f t="shared" si="11"/>
        <v>2162.32</v>
      </c>
      <c r="AD25" s="71">
        <f t="shared" ref="AD25:AE25" si="95">AA25*0.95</f>
        <v>2054.204</v>
      </c>
      <c r="AE25" s="71">
        <f t="shared" si="95"/>
        <v>0</v>
      </c>
      <c r="AF25" s="68">
        <f t="shared" si="13"/>
        <v>2054.204</v>
      </c>
      <c r="AG25" s="71">
        <v>78.0</v>
      </c>
      <c r="AH25" s="71">
        <v>0.0</v>
      </c>
      <c r="AI25" s="68">
        <f t="shared" si="14"/>
        <v>78</v>
      </c>
      <c r="AJ25" s="71">
        <f t="shared" ref="AJ25:AK25" si="96">AG25/1.05506</f>
        <v>73.92944477</v>
      </c>
      <c r="AK25" s="71">
        <f t="shared" si="96"/>
        <v>0</v>
      </c>
      <c r="AL25" s="68">
        <f t="shared" si="16"/>
        <v>73.92944477</v>
      </c>
    </row>
    <row r="26" ht="14.25" customHeight="1">
      <c r="B26" s="69">
        <v>45672.0</v>
      </c>
      <c r="C26" s="70"/>
      <c r="D26" s="70"/>
      <c r="E26" s="68">
        <f t="shared" si="1"/>
        <v>0</v>
      </c>
      <c r="F26" s="71">
        <v>785.0</v>
      </c>
      <c r="G26" s="71">
        <v>0.0</v>
      </c>
      <c r="H26" s="68">
        <f t="shared" si="17"/>
        <v>785</v>
      </c>
      <c r="I26" s="73">
        <f t="shared" ref="I26:J26" si="97">F26*55000*0.35/1000/0.55</f>
        <v>27475</v>
      </c>
      <c r="J26" s="73">
        <f t="shared" si="97"/>
        <v>0</v>
      </c>
      <c r="K26" s="68">
        <f t="shared" si="19"/>
        <v>27475</v>
      </c>
      <c r="L26" s="71">
        <v>24212.0</v>
      </c>
      <c r="M26" s="71">
        <v>0.0</v>
      </c>
      <c r="N26" s="68">
        <f t="shared" si="3"/>
        <v>24212</v>
      </c>
      <c r="O26" s="71">
        <v>2926.6187050359713</v>
      </c>
      <c r="P26" s="71">
        <v>0.0</v>
      </c>
      <c r="Q26" s="68">
        <f t="shared" si="4"/>
        <v>2926.618705</v>
      </c>
      <c r="R26" s="71">
        <f t="shared" ref="R26:S26" si="98">L26-O26</f>
        <v>21285.38129</v>
      </c>
      <c r="S26" s="71">
        <f t="shared" si="98"/>
        <v>0</v>
      </c>
      <c r="T26" s="68">
        <f t="shared" si="6"/>
        <v>21285.38129</v>
      </c>
      <c r="U26" s="71">
        <f t="shared" ref="U26:V26" si="99">R26*0.55</f>
        <v>11706.95971</v>
      </c>
      <c r="V26" s="71">
        <f t="shared" si="99"/>
        <v>0</v>
      </c>
      <c r="W26" s="68">
        <f t="shared" si="8"/>
        <v>11706.95971</v>
      </c>
      <c r="X26" s="71">
        <f t="shared" ref="X26:Y26" si="100">U26/0.95</f>
        <v>12323.11549</v>
      </c>
      <c r="Y26" s="71">
        <f t="shared" si="100"/>
        <v>0</v>
      </c>
      <c r="Z26" s="68">
        <f t="shared" si="10"/>
        <v>12323.11549</v>
      </c>
      <c r="AA26" s="71">
        <v>3330.2554</v>
      </c>
      <c r="AB26" s="71">
        <v>0.0</v>
      </c>
      <c r="AC26" s="68">
        <f t="shared" si="11"/>
        <v>3330.2554</v>
      </c>
      <c r="AD26" s="71">
        <f t="shared" ref="AD26:AE26" si="101">AA26*0.95</f>
        <v>3163.74263</v>
      </c>
      <c r="AE26" s="71">
        <f t="shared" si="101"/>
        <v>0</v>
      </c>
      <c r="AF26" s="68">
        <f t="shared" si="13"/>
        <v>3163.74263</v>
      </c>
      <c r="AG26" s="71">
        <v>120.0</v>
      </c>
      <c r="AH26" s="71">
        <v>0.0</v>
      </c>
      <c r="AI26" s="68">
        <f t="shared" si="14"/>
        <v>120</v>
      </c>
      <c r="AJ26" s="71">
        <f t="shared" ref="AJ26:AK26" si="102">AG26/1.05506</f>
        <v>113.7376073</v>
      </c>
      <c r="AK26" s="71">
        <f t="shared" si="102"/>
        <v>0</v>
      </c>
      <c r="AL26" s="68">
        <f t="shared" si="16"/>
        <v>113.7376073</v>
      </c>
    </row>
    <row r="27" ht="14.25" customHeight="1">
      <c r="B27" s="69">
        <v>45673.0</v>
      </c>
      <c r="C27" s="70"/>
      <c r="D27" s="70"/>
      <c r="E27" s="68">
        <f t="shared" si="1"/>
        <v>0</v>
      </c>
      <c r="F27" s="71">
        <v>784.0</v>
      </c>
      <c r="G27" s="71">
        <v>0.0</v>
      </c>
      <c r="H27" s="68">
        <f t="shared" si="17"/>
        <v>784</v>
      </c>
      <c r="I27" s="73">
        <f t="shared" ref="I27:J27" si="103">F27*55000*0.35/1000/0.55</f>
        <v>27440</v>
      </c>
      <c r="J27" s="73">
        <f t="shared" si="103"/>
        <v>0</v>
      </c>
      <c r="K27" s="68">
        <f t="shared" si="19"/>
        <v>27440</v>
      </c>
      <c r="L27" s="71">
        <v>24383.0</v>
      </c>
      <c r="M27" s="71">
        <v>0.0</v>
      </c>
      <c r="N27" s="68">
        <f t="shared" si="3"/>
        <v>24383</v>
      </c>
      <c r="O27" s="71">
        <v>2916.906474820144</v>
      </c>
      <c r="P27" s="71">
        <v>0.0</v>
      </c>
      <c r="Q27" s="68">
        <f t="shared" si="4"/>
        <v>2916.906475</v>
      </c>
      <c r="R27" s="71">
        <f t="shared" ref="R27:S27" si="104">L27-O27</f>
        <v>21466.09353</v>
      </c>
      <c r="S27" s="71">
        <f t="shared" si="104"/>
        <v>0</v>
      </c>
      <c r="T27" s="68">
        <f t="shared" si="6"/>
        <v>21466.09353</v>
      </c>
      <c r="U27" s="71">
        <f t="shared" ref="U27:V27" si="105">R27*0.55</f>
        <v>11806.35144</v>
      </c>
      <c r="V27" s="71">
        <f t="shared" si="105"/>
        <v>0</v>
      </c>
      <c r="W27" s="68">
        <f t="shared" si="8"/>
        <v>11806.35144</v>
      </c>
      <c r="X27" s="71">
        <f t="shared" ref="X27:Y27" si="106">U27/0.95</f>
        <v>12427.73836</v>
      </c>
      <c r="Y27" s="71">
        <f t="shared" si="106"/>
        <v>0</v>
      </c>
      <c r="Z27" s="68">
        <f t="shared" si="10"/>
        <v>12427.73836</v>
      </c>
      <c r="AA27" s="71">
        <v>3012.0672</v>
      </c>
      <c r="AB27" s="71">
        <v>0.0</v>
      </c>
      <c r="AC27" s="68">
        <f t="shared" si="11"/>
        <v>3012.0672</v>
      </c>
      <c r="AD27" s="71">
        <f t="shared" ref="AD27:AE27" si="107">AA27*0.95</f>
        <v>2861.46384</v>
      </c>
      <c r="AE27" s="71">
        <f t="shared" si="107"/>
        <v>0</v>
      </c>
      <c r="AF27" s="68">
        <f t="shared" si="13"/>
        <v>2861.46384</v>
      </c>
      <c r="AG27" s="71">
        <v>110.0</v>
      </c>
      <c r="AH27" s="71">
        <v>0.0</v>
      </c>
      <c r="AI27" s="68">
        <f t="shared" si="14"/>
        <v>110</v>
      </c>
      <c r="AJ27" s="71">
        <f t="shared" ref="AJ27:AK27" si="108">AG27/1.05506</f>
        <v>104.2594734</v>
      </c>
      <c r="AK27" s="71">
        <f t="shared" si="108"/>
        <v>0</v>
      </c>
      <c r="AL27" s="68">
        <f t="shared" si="16"/>
        <v>104.2594734</v>
      </c>
    </row>
    <row r="28" ht="14.25" customHeight="1">
      <c r="B28" s="69">
        <v>45674.0</v>
      </c>
      <c r="C28" s="70"/>
      <c r="D28" s="70"/>
      <c r="E28" s="68">
        <f t="shared" si="1"/>
        <v>0</v>
      </c>
      <c r="F28" s="71">
        <v>821.0</v>
      </c>
      <c r="G28" s="71">
        <v>0.0</v>
      </c>
      <c r="H28" s="68">
        <f t="shared" si="17"/>
        <v>821</v>
      </c>
      <c r="I28" s="73">
        <f t="shared" ref="I28:J28" si="109">F28*55000*0.35/1000/0.55</f>
        <v>28735</v>
      </c>
      <c r="J28" s="73">
        <f t="shared" si="109"/>
        <v>0</v>
      </c>
      <c r="K28" s="68">
        <f t="shared" si="19"/>
        <v>28735</v>
      </c>
      <c r="L28" s="71">
        <v>23123.0</v>
      </c>
      <c r="M28" s="71">
        <v>0.0</v>
      </c>
      <c r="N28" s="68">
        <f t="shared" si="3"/>
        <v>23123</v>
      </c>
      <c r="O28" s="71">
        <v>2867.26618705036</v>
      </c>
      <c r="P28" s="71">
        <v>0.0</v>
      </c>
      <c r="Q28" s="68">
        <f t="shared" si="4"/>
        <v>2867.266187</v>
      </c>
      <c r="R28" s="71">
        <f t="shared" ref="R28:S28" si="110">L28-O28</f>
        <v>20255.73381</v>
      </c>
      <c r="S28" s="71">
        <f t="shared" si="110"/>
        <v>0</v>
      </c>
      <c r="T28" s="68">
        <f t="shared" si="6"/>
        <v>20255.73381</v>
      </c>
      <c r="U28" s="71">
        <f t="shared" ref="U28:V28" si="111">R28*0.55</f>
        <v>11140.6536</v>
      </c>
      <c r="V28" s="71">
        <f t="shared" si="111"/>
        <v>0</v>
      </c>
      <c r="W28" s="68">
        <f t="shared" si="8"/>
        <v>11140.6536</v>
      </c>
      <c r="X28" s="71">
        <f t="shared" ref="X28:Y28" si="112">U28/0.95</f>
        <v>11727.00379</v>
      </c>
      <c r="Y28" s="71">
        <f t="shared" si="112"/>
        <v>0</v>
      </c>
      <c r="Z28" s="68">
        <f t="shared" si="10"/>
        <v>11727.00379</v>
      </c>
      <c r="AA28" s="71">
        <v>2954.7443</v>
      </c>
      <c r="AB28" s="71">
        <v>0.0</v>
      </c>
      <c r="AC28" s="68">
        <f t="shared" si="11"/>
        <v>2954.7443</v>
      </c>
      <c r="AD28" s="71">
        <f t="shared" ref="AD28:AE28" si="113">AA28*0.95</f>
        <v>2807.007085</v>
      </c>
      <c r="AE28" s="71">
        <f t="shared" si="113"/>
        <v>0</v>
      </c>
      <c r="AF28" s="68">
        <f t="shared" si="13"/>
        <v>2807.007085</v>
      </c>
      <c r="AG28" s="71">
        <v>107.0</v>
      </c>
      <c r="AH28" s="71">
        <v>0.0</v>
      </c>
      <c r="AI28" s="68">
        <f t="shared" si="14"/>
        <v>107</v>
      </c>
      <c r="AJ28" s="71">
        <f t="shared" ref="AJ28:AK28" si="114">AG28/1.05506</f>
        <v>101.4160332</v>
      </c>
      <c r="AK28" s="71">
        <f t="shared" si="114"/>
        <v>0</v>
      </c>
      <c r="AL28" s="68">
        <f t="shared" si="16"/>
        <v>101.4160332</v>
      </c>
    </row>
    <row r="29" ht="14.25" customHeight="1">
      <c r="B29" s="69">
        <v>45675.0</v>
      </c>
      <c r="C29" s="70"/>
      <c r="D29" s="70"/>
      <c r="E29" s="68">
        <f t="shared" si="1"/>
        <v>0</v>
      </c>
      <c r="F29" s="71">
        <v>1062.0</v>
      </c>
      <c r="G29" s="71">
        <v>0.0</v>
      </c>
      <c r="H29" s="68">
        <f t="shared" si="17"/>
        <v>1062</v>
      </c>
      <c r="I29" s="73">
        <f t="shared" ref="I29:J29" si="115">F29*55000*0.35/1000/0.55</f>
        <v>37170</v>
      </c>
      <c r="J29" s="73">
        <f t="shared" si="115"/>
        <v>0</v>
      </c>
      <c r="K29" s="68">
        <f t="shared" si="19"/>
        <v>37170</v>
      </c>
      <c r="L29" s="71">
        <v>19654.0</v>
      </c>
      <c r="M29" s="71">
        <v>0.0</v>
      </c>
      <c r="N29" s="68">
        <f t="shared" si="3"/>
        <v>19654</v>
      </c>
      <c r="O29" s="71">
        <v>1504.676258992806</v>
      </c>
      <c r="P29" s="71">
        <v>0.0</v>
      </c>
      <c r="Q29" s="68">
        <f t="shared" si="4"/>
        <v>1504.676259</v>
      </c>
      <c r="R29" s="71">
        <f t="shared" ref="R29:S29" si="116">L29-O29</f>
        <v>18149.32374</v>
      </c>
      <c r="S29" s="71">
        <f t="shared" si="116"/>
        <v>0</v>
      </c>
      <c r="T29" s="68">
        <f t="shared" si="6"/>
        <v>18149.32374</v>
      </c>
      <c r="U29" s="71">
        <f t="shared" ref="U29:V29" si="117">R29*0.55</f>
        <v>9982.128058</v>
      </c>
      <c r="V29" s="71">
        <f t="shared" si="117"/>
        <v>0</v>
      </c>
      <c r="W29" s="68">
        <f t="shared" si="8"/>
        <v>9982.128058</v>
      </c>
      <c r="X29" s="71">
        <f t="shared" ref="X29:Y29" si="118">U29/0.95</f>
        <v>10507.50322</v>
      </c>
      <c r="Y29" s="71">
        <f t="shared" si="118"/>
        <v>0</v>
      </c>
      <c r="Z29" s="68">
        <f t="shared" si="10"/>
        <v>10507.50322</v>
      </c>
      <c r="AA29" s="71">
        <v>137.6163</v>
      </c>
      <c r="AB29" s="71">
        <v>0.0</v>
      </c>
      <c r="AC29" s="68">
        <f t="shared" si="11"/>
        <v>137.6163</v>
      </c>
      <c r="AD29" s="71">
        <f t="shared" ref="AD29:AE29" si="119">AA29*0.95</f>
        <v>130.735485</v>
      </c>
      <c r="AE29" s="71">
        <f t="shared" si="119"/>
        <v>0</v>
      </c>
      <c r="AF29" s="68">
        <f t="shared" si="13"/>
        <v>130.735485</v>
      </c>
      <c r="AG29" s="71">
        <v>5.0</v>
      </c>
      <c r="AH29" s="71">
        <v>0.0</v>
      </c>
      <c r="AI29" s="68">
        <f t="shared" si="14"/>
        <v>5</v>
      </c>
      <c r="AJ29" s="71">
        <f t="shared" ref="AJ29:AK29" si="120">AG29/1.05506</f>
        <v>4.739066972</v>
      </c>
      <c r="AK29" s="71">
        <f t="shared" si="120"/>
        <v>0</v>
      </c>
      <c r="AL29" s="68">
        <f t="shared" si="16"/>
        <v>4.739066972</v>
      </c>
    </row>
    <row r="30" ht="14.25" customHeight="1">
      <c r="B30" s="69">
        <v>45676.0</v>
      </c>
      <c r="C30" s="70"/>
      <c r="D30" s="70"/>
      <c r="E30" s="68">
        <f t="shared" si="1"/>
        <v>0</v>
      </c>
      <c r="F30" s="71">
        <v>322.0</v>
      </c>
      <c r="G30" s="71">
        <v>0.0</v>
      </c>
      <c r="H30" s="68">
        <f t="shared" si="17"/>
        <v>322</v>
      </c>
      <c r="I30" s="73">
        <f t="shared" ref="I30:J30" si="121">F30*55000*0.35/1000/0.55</f>
        <v>11270</v>
      </c>
      <c r="J30" s="73">
        <f t="shared" si="121"/>
        <v>0</v>
      </c>
      <c r="K30" s="68">
        <f t="shared" si="19"/>
        <v>11270</v>
      </c>
      <c r="L30" s="71">
        <v>13333.0</v>
      </c>
      <c r="M30" s="71">
        <v>0.0</v>
      </c>
      <c r="N30" s="68">
        <f t="shared" si="3"/>
        <v>13333</v>
      </c>
      <c r="O30" s="71">
        <v>0.0</v>
      </c>
      <c r="P30" s="71">
        <v>0.0</v>
      </c>
      <c r="Q30" s="68">
        <f t="shared" si="4"/>
        <v>0</v>
      </c>
      <c r="R30" s="71">
        <f t="shared" ref="R30:S30" si="122">L30-O30</f>
        <v>13333</v>
      </c>
      <c r="S30" s="71">
        <f t="shared" si="122"/>
        <v>0</v>
      </c>
      <c r="T30" s="68">
        <f t="shared" si="6"/>
        <v>13333</v>
      </c>
      <c r="U30" s="71">
        <f t="shared" ref="U30:V30" si="123">R30*0.55</f>
        <v>7333.15</v>
      </c>
      <c r="V30" s="71">
        <f t="shared" si="123"/>
        <v>0</v>
      </c>
      <c r="W30" s="68">
        <f t="shared" si="8"/>
        <v>7333.15</v>
      </c>
      <c r="X30" s="71">
        <f t="shared" ref="X30:Y30" si="124">U30/0.95</f>
        <v>7719.105263</v>
      </c>
      <c r="Y30" s="71">
        <f t="shared" si="124"/>
        <v>0</v>
      </c>
      <c r="Z30" s="68">
        <f t="shared" si="10"/>
        <v>7719.105263</v>
      </c>
      <c r="AA30" s="71">
        <v>1.7511</v>
      </c>
      <c r="AB30" s="71">
        <v>0.0</v>
      </c>
      <c r="AC30" s="68">
        <f t="shared" si="11"/>
        <v>1.7511</v>
      </c>
      <c r="AD30" s="71">
        <f t="shared" ref="AD30:AE30" si="125">AA30*0.95</f>
        <v>1.663545</v>
      </c>
      <c r="AE30" s="71">
        <f t="shared" si="125"/>
        <v>0</v>
      </c>
      <c r="AF30" s="68">
        <f t="shared" si="13"/>
        <v>1.663545</v>
      </c>
      <c r="AG30" s="71">
        <v>0.0</v>
      </c>
      <c r="AH30" s="71">
        <v>0.0</v>
      </c>
      <c r="AI30" s="68">
        <f t="shared" si="14"/>
        <v>0</v>
      </c>
      <c r="AJ30" s="71">
        <f t="shared" ref="AJ30:AK30" si="126">AG30/1.05506</f>
        <v>0</v>
      </c>
      <c r="AK30" s="71">
        <f t="shared" si="126"/>
        <v>0</v>
      </c>
      <c r="AL30" s="68">
        <f t="shared" si="16"/>
        <v>0</v>
      </c>
    </row>
    <row r="31" ht="14.25" customHeight="1">
      <c r="B31" s="69">
        <v>45677.0</v>
      </c>
      <c r="C31" s="70"/>
      <c r="D31" s="70"/>
      <c r="E31" s="68">
        <f t="shared" si="1"/>
        <v>0</v>
      </c>
      <c r="F31" s="71">
        <v>829.0</v>
      </c>
      <c r="G31" s="71">
        <v>0.0</v>
      </c>
      <c r="H31" s="68">
        <f t="shared" si="17"/>
        <v>829</v>
      </c>
      <c r="I31" s="73">
        <f t="shared" ref="I31:J31" si="127">F31*55000*0.35/1000/0.55</f>
        <v>29015</v>
      </c>
      <c r="J31" s="73">
        <f t="shared" si="127"/>
        <v>0</v>
      </c>
      <c r="K31" s="68">
        <f t="shared" si="19"/>
        <v>29015</v>
      </c>
      <c r="L31" s="71">
        <v>9351.0</v>
      </c>
      <c r="M31" s="71">
        <v>0.0</v>
      </c>
      <c r="N31" s="68">
        <f t="shared" si="3"/>
        <v>9351</v>
      </c>
      <c r="O31" s="71">
        <v>0.0</v>
      </c>
      <c r="P31" s="71">
        <v>0.0</v>
      </c>
      <c r="Q31" s="68">
        <f t="shared" si="4"/>
        <v>0</v>
      </c>
      <c r="R31" s="71">
        <f t="shared" ref="R31:S31" si="128">L31-O31</f>
        <v>9351</v>
      </c>
      <c r="S31" s="71">
        <f t="shared" si="128"/>
        <v>0</v>
      </c>
      <c r="T31" s="68">
        <f t="shared" si="6"/>
        <v>9351</v>
      </c>
      <c r="U31" s="71">
        <f t="shared" ref="U31:V31" si="129">R31*0.55</f>
        <v>5143.05</v>
      </c>
      <c r="V31" s="71">
        <f t="shared" si="129"/>
        <v>0</v>
      </c>
      <c r="W31" s="68">
        <f t="shared" si="8"/>
        <v>5143.05</v>
      </c>
      <c r="X31" s="71">
        <f t="shared" ref="X31:Y31" si="130">U31/0.95</f>
        <v>5413.736842</v>
      </c>
      <c r="Y31" s="71">
        <f t="shared" si="130"/>
        <v>0</v>
      </c>
      <c r="Z31" s="68">
        <f t="shared" si="10"/>
        <v>5413.736842</v>
      </c>
      <c r="AA31" s="71">
        <v>0.0</v>
      </c>
      <c r="AB31" s="71">
        <v>0.0</v>
      </c>
      <c r="AC31" s="68">
        <f t="shared" si="11"/>
        <v>0</v>
      </c>
      <c r="AD31" s="71">
        <f t="shared" ref="AD31:AE31" si="131">AA31*0.95</f>
        <v>0</v>
      </c>
      <c r="AE31" s="71">
        <f t="shared" si="131"/>
        <v>0</v>
      </c>
      <c r="AF31" s="68">
        <f t="shared" si="13"/>
        <v>0</v>
      </c>
      <c r="AG31" s="71">
        <v>0.0</v>
      </c>
      <c r="AH31" s="71">
        <v>0.0</v>
      </c>
      <c r="AI31" s="68">
        <f t="shared" si="14"/>
        <v>0</v>
      </c>
      <c r="AJ31" s="71">
        <f t="shared" ref="AJ31:AK31" si="132">AG31/1.05506</f>
        <v>0</v>
      </c>
      <c r="AK31" s="71">
        <f t="shared" si="132"/>
        <v>0</v>
      </c>
      <c r="AL31" s="68">
        <f t="shared" si="16"/>
        <v>0</v>
      </c>
    </row>
    <row r="32" ht="14.25" customHeight="1">
      <c r="B32" s="69">
        <v>45678.0</v>
      </c>
      <c r="C32" s="70"/>
      <c r="D32" s="70"/>
      <c r="E32" s="68">
        <f t="shared" si="1"/>
        <v>0</v>
      </c>
      <c r="F32" s="71">
        <v>847.0</v>
      </c>
      <c r="G32" s="71">
        <v>0.0</v>
      </c>
      <c r="H32" s="68">
        <f t="shared" si="17"/>
        <v>847</v>
      </c>
      <c r="I32" s="73">
        <f t="shared" ref="I32:J32" si="133">F32*55000*0.35/1000/0.55</f>
        <v>29645</v>
      </c>
      <c r="J32" s="73">
        <f t="shared" si="133"/>
        <v>0</v>
      </c>
      <c r="K32" s="68">
        <f t="shared" si="19"/>
        <v>29645</v>
      </c>
      <c r="L32" s="71">
        <v>12727.0</v>
      </c>
      <c r="M32" s="71">
        <v>0.0</v>
      </c>
      <c r="N32" s="68">
        <f t="shared" si="3"/>
        <v>12727</v>
      </c>
      <c r="O32" s="71">
        <v>1025.179856115108</v>
      </c>
      <c r="P32" s="71">
        <v>0.0</v>
      </c>
      <c r="Q32" s="68">
        <f t="shared" si="4"/>
        <v>1025.179856</v>
      </c>
      <c r="R32" s="71">
        <f t="shared" ref="R32:S32" si="134">L32-O32</f>
        <v>11701.82014</v>
      </c>
      <c r="S32" s="71">
        <f t="shared" si="134"/>
        <v>0</v>
      </c>
      <c r="T32" s="68">
        <f t="shared" si="6"/>
        <v>11701.82014</v>
      </c>
      <c r="U32" s="71">
        <f t="shared" ref="U32:V32" si="135">R32*0.55</f>
        <v>6436.001079</v>
      </c>
      <c r="V32" s="71">
        <f t="shared" si="135"/>
        <v>0</v>
      </c>
      <c r="W32" s="68">
        <f t="shared" si="8"/>
        <v>6436.001079</v>
      </c>
      <c r="X32" s="71">
        <f t="shared" ref="X32:Y32" si="136">U32/0.95</f>
        <v>6774.737978</v>
      </c>
      <c r="Y32" s="71">
        <f t="shared" si="136"/>
        <v>0</v>
      </c>
      <c r="Z32" s="68">
        <f t="shared" si="10"/>
        <v>6774.737978</v>
      </c>
      <c r="AA32" s="71">
        <v>2.0859</v>
      </c>
      <c r="AB32" s="71">
        <v>0.0</v>
      </c>
      <c r="AC32" s="68">
        <f t="shared" si="11"/>
        <v>2.0859</v>
      </c>
      <c r="AD32" s="71">
        <f t="shared" ref="AD32:AE32" si="137">AA32*0.95</f>
        <v>1.981605</v>
      </c>
      <c r="AE32" s="71">
        <f t="shared" si="137"/>
        <v>0</v>
      </c>
      <c r="AF32" s="68">
        <f t="shared" si="13"/>
        <v>1.981605</v>
      </c>
      <c r="AG32" s="71">
        <v>0.0</v>
      </c>
      <c r="AH32" s="71">
        <v>0.0</v>
      </c>
      <c r="AI32" s="68">
        <f t="shared" si="14"/>
        <v>0</v>
      </c>
      <c r="AJ32" s="71">
        <f t="shared" ref="AJ32:AK32" si="138">AG32/1.05506</f>
        <v>0</v>
      </c>
      <c r="AK32" s="71">
        <f t="shared" si="138"/>
        <v>0</v>
      </c>
      <c r="AL32" s="68">
        <f t="shared" si="16"/>
        <v>0</v>
      </c>
    </row>
    <row r="33" ht="14.25" customHeight="1">
      <c r="B33" s="69">
        <v>45679.0</v>
      </c>
      <c r="C33" s="70"/>
      <c r="D33" s="70"/>
      <c r="E33" s="68">
        <f t="shared" si="1"/>
        <v>0</v>
      </c>
      <c r="F33" s="71">
        <v>733.0</v>
      </c>
      <c r="G33" s="71">
        <v>0.0</v>
      </c>
      <c r="H33" s="68">
        <f t="shared" si="17"/>
        <v>733</v>
      </c>
      <c r="I33" s="73">
        <f t="shared" ref="I33:J33" si="139">F33*55000*0.35/1000/0.55</f>
        <v>25655</v>
      </c>
      <c r="J33" s="73">
        <f t="shared" si="139"/>
        <v>0</v>
      </c>
      <c r="K33" s="68">
        <f t="shared" si="19"/>
        <v>25655</v>
      </c>
      <c r="L33" s="71">
        <v>23990.0</v>
      </c>
      <c r="M33" s="71">
        <v>0.0</v>
      </c>
      <c r="N33" s="68">
        <f t="shared" si="3"/>
        <v>23990</v>
      </c>
      <c r="O33" s="71">
        <v>2982.014388489209</v>
      </c>
      <c r="P33" s="71">
        <v>0.0</v>
      </c>
      <c r="Q33" s="68">
        <f t="shared" si="4"/>
        <v>2982.014388</v>
      </c>
      <c r="R33" s="71">
        <f t="shared" ref="R33:S33" si="140">L33-O33</f>
        <v>21007.98561</v>
      </c>
      <c r="S33" s="71">
        <f t="shared" si="140"/>
        <v>0</v>
      </c>
      <c r="T33" s="68">
        <f t="shared" si="6"/>
        <v>21007.98561</v>
      </c>
      <c r="U33" s="71">
        <f t="shared" ref="U33:V33" si="141">R33*0.55</f>
        <v>11554.39209</v>
      </c>
      <c r="V33" s="71">
        <f t="shared" si="141"/>
        <v>0</v>
      </c>
      <c r="W33" s="68">
        <f t="shared" si="8"/>
        <v>11554.39209</v>
      </c>
      <c r="X33" s="71">
        <f t="shared" ref="X33:Y33" si="142">U33/0.95</f>
        <v>12162.51799</v>
      </c>
      <c r="Y33" s="71">
        <f t="shared" si="142"/>
        <v>0</v>
      </c>
      <c r="Z33" s="68">
        <f t="shared" si="10"/>
        <v>12162.51799</v>
      </c>
      <c r="AA33" s="71">
        <v>195.9501</v>
      </c>
      <c r="AB33" s="71">
        <v>0.0</v>
      </c>
      <c r="AC33" s="68">
        <f t="shared" si="11"/>
        <v>195.9501</v>
      </c>
      <c r="AD33" s="71">
        <f t="shared" ref="AD33:AE33" si="143">AA33*0.95</f>
        <v>186.152595</v>
      </c>
      <c r="AE33" s="71">
        <f t="shared" si="143"/>
        <v>0</v>
      </c>
      <c r="AF33" s="68">
        <f t="shared" si="13"/>
        <v>186.152595</v>
      </c>
      <c r="AG33" s="71">
        <v>7.0</v>
      </c>
      <c r="AH33" s="71">
        <v>0.0</v>
      </c>
      <c r="AI33" s="68">
        <f t="shared" si="14"/>
        <v>7</v>
      </c>
      <c r="AJ33" s="71">
        <f t="shared" ref="AJ33:AK33" si="144">AG33/1.05506</f>
        <v>6.634693761</v>
      </c>
      <c r="AK33" s="71">
        <f t="shared" si="144"/>
        <v>0</v>
      </c>
      <c r="AL33" s="68">
        <f t="shared" si="16"/>
        <v>6.634693761</v>
      </c>
    </row>
    <row r="34" ht="14.25" customHeight="1">
      <c r="B34" s="69">
        <v>45680.0</v>
      </c>
      <c r="C34" s="70"/>
      <c r="D34" s="70"/>
      <c r="E34" s="68">
        <f t="shared" si="1"/>
        <v>0</v>
      </c>
      <c r="F34" s="71">
        <v>786.0</v>
      </c>
      <c r="G34" s="71">
        <v>0.0</v>
      </c>
      <c r="H34" s="68">
        <f t="shared" si="17"/>
        <v>786</v>
      </c>
      <c r="I34" s="73">
        <f t="shared" ref="I34:J34" si="145">F34*55000*0.35/1000/0.55</f>
        <v>27510</v>
      </c>
      <c r="J34" s="73">
        <f t="shared" si="145"/>
        <v>0</v>
      </c>
      <c r="K34" s="68">
        <f t="shared" si="19"/>
        <v>27510</v>
      </c>
      <c r="L34" s="71">
        <v>25754.0</v>
      </c>
      <c r="M34" s="71">
        <v>0.0</v>
      </c>
      <c r="N34" s="68">
        <f t="shared" si="3"/>
        <v>25754</v>
      </c>
      <c r="O34" s="71">
        <v>2864.7482014388493</v>
      </c>
      <c r="P34" s="71">
        <v>0.0</v>
      </c>
      <c r="Q34" s="68">
        <f t="shared" si="4"/>
        <v>2864.748201</v>
      </c>
      <c r="R34" s="71">
        <f t="shared" ref="R34:S34" si="146">L34-O34</f>
        <v>22889.2518</v>
      </c>
      <c r="S34" s="71">
        <f t="shared" si="146"/>
        <v>0</v>
      </c>
      <c r="T34" s="68">
        <f t="shared" si="6"/>
        <v>22889.2518</v>
      </c>
      <c r="U34" s="71">
        <f t="shared" ref="U34:V34" si="147">R34*0.55</f>
        <v>12589.08849</v>
      </c>
      <c r="V34" s="71">
        <f t="shared" si="147"/>
        <v>0</v>
      </c>
      <c r="W34" s="68">
        <f t="shared" si="8"/>
        <v>12589.08849</v>
      </c>
      <c r="X34" s="71">
        <f t="shared" ref="X34:Y34" si="148">U34/0.95</f>
        <v>13251.67209</v>
      </c>
      <c r="Y34" s="71">
        <f t="shared" si="148"/>
        <v>0</v>
      </c>
      <c r="Z34" s="68">
        <f t="shared" si="10"/>
        <v>13251.67209</v>
      </c>
      <c r="AA34" s="71">
        <v>1777.7987</v>
      </c>
      <c r="AB34" s="71">
        <v>0.0</v>
      </c>
      <c r="AC34" s="68">
        <f t="shared" si="11"/>
        <v>1777.7987</v>
      </c>
      <c r="AD34" s="71">
        <f t="shared" ref="AD34:AE34" si="149">AA34*0.95</f>
        <v>1688.908765</v>
      </c>
      <c r="AE34" s="71">
        <f t="shared" si="149"/>
        <v>0</v>
      </c>
      <c r="AF34" s="68">
        <f t="shared" si="13"/>
        <v>1688.908765</v>
      </c>
      <c r="AG34" s="71">
        <v>66.0</v>
      </c>
      <c r="AH34" s="71">
        <v>0.0</v>
      </c>
      <c r="AI34" s="68">
        <f t="shared" si="14"/>
        <v>66</v>
      </c>
      <c r="AJ34" s="71">
        <f t="shared" ref="AJ34:AK34" si="150">AG34/1.05506</f>
        <v>62.55568404</v>
      </c>
      <c r="AK34" s="71">
        <f t="shared" si="150"/>
        <v>0</v>
      </c>
      <c r="AL34" s="68">
        <f t="shared" si="16"/>
        <v>62.55568404</v>
      </c>
    </row>
    <row r="35" ht="14.25" customHeight="1">
      <c r="B35" s="69">
        <v>45681.0</v>
      </c>
      <c r="C35" s="70"/>
      <c r="D35" s="70"/>
      <c r="E35" s="68">
        <f t="shared" si="1"/>
        <v>0</v>
      </c>
      <c r="F35" s="71">
        <v>487.0</v>
      </c>
      <c r="G35" s="71">
        <v>0.0</v>
      </c>
      <c r="H35" s="68">
        <f t="shared" si="17"/>
        <v>487</v>
      </c>
      <c r="I35" s="73">
        <f t="shared" ref="I35:J35" si="151">F35*55000*0.35/1000/0.55</f>
        <v>17045</v>
      </c>
      <c r="J35" s="73">
        <f t="shared" si="151"/>
        <v>0</v>
      </c>
      <c r="K35" s="68">
        <f t="shared" si="19"/>
        <v>17045</v>
      </c>
      <c r="L35" s="71">
        <v>26267.0</v>
      </c>
      <c r="M35" s="71">
        <v>0.0</v>
      </c>
      <c r="N35" s="68">
        <f t="shared" si="3"/>
        <v>26267</v>
      </c>
      <c r="O35" s="71">
        <v>3005.035971223022</v>
      </c>
      <c r="P35" s="71">
        <v>0.0</v>
      </c>
      <c r="Q35" s="68">
        <f t="shared" si="4"/>
        <v>3005.035971</v>
      </c>
      <c r="R35" s="71">
        <f t="shared" ref="R35:S35" si="152">L35-O35</f>
        <v>23261.96403</v>
      </c>
      <c r="S35" s="71">
        <f t="shared" si="152"/>
        <v>0</v>
      </c>
      <c r="T35" s="68">
        <f t="shared" si="6"/>
        <v>23261.96403</v>
      </c>
      <c r="U35" s="71">
        <f t="shared" ref="U35:V35" si="153">R35*0.55</f>
        <v>12794.08022</v>
      </c>
      <c r="V35" s="71">
        <f t="shared" si="153"/>
        <v>0</v>
      </c>
      <c r="W35" s="68">
        <f t="shared" si="8"/>
        <v>12794.08022</v>
      </c>
      <c r="X35" s="71">
        <f t="shared" ref="X35:Y35" si="154">U35/0.95</f>
        <v>13467.45286</v>
      </c>
      <c r="Y35" s="71">
        <f t="shared" si="154"/>
        <v>0</v>
      </c>
      <c r="Z35" s="68">
        <f t="shared" si="10"/>
        <v>13467.45286</v>
      </c>
      <c r="AA35" s="71">
        <v>3916.2853</v>
      </c>
      <c r="AB35" s="71">
        <v>0.0</v>
      </c>
      <c r="AC35" s="68">
        <f t="shared" si="11"/>
        <v>3916.2853</v>
      </c>
      <c r="AD35" s="71">
        <f t="shared" ref="AD35:AE35" si="155">AA35*0.95</f>
        <v>3720.471035</v>
      </c>
      <c r="AE35" s="71">
        <f t="shared" si="155"/>
        <v>0</v>
      </c>
      <c r="AF35" s="68">
        <f t="shared" si="13"/>
        <v>3720.471035</v>
      </c>
      <c r="AG35" s="71">
        <v>142.0</v>
      </c>
      <c r="AH35" s="71">
        <v>0.0</v>
      </c>
      <c r="AI35" s="68">
        <f t="shared" si="14"/>
        <v>142</v>
      </c>
      <c r="AJ35" s="71">
        <f t="shared" ref="AJ35:AK35" si="156">AG35/1.05506</f>
        <v>134.589502</v>
      </c>
      <c r="AK35" s="71">
        <f t="shared" si="156"/>
        <v>0</v>
      </c>
      <c r="AL35" s="68">
        <f t="shared" si="16"/>
        <v>134.589502</v>
      </c>
    </row>
    <row r="36" ht="14.25" customHeight="1">
      <c r="B36" s="69">
        <v>45682.0</v>
      </c>
      <c r="C36" s="70"/>
      <c r="D36" s="70"/>
      <c r="E36" s="68">
        <f t="shared" si="1"/>
        <v>0</v>
      </c>
      <c r="F36" s="71">
        <v>838.0</v>
      </c>
      <c r="G36" s="71">
        <v>0.0</v>
      </c>
      <c r="H36" s="68">
        <f t="shared" si="17"/>
        <v>838</v>
      </c>
      <c r="I36" s="73">
        <f t="shared" ref="I36:J36" si="157">F36*55000*0.35/1000/0.55</f>
        <v>29330</v>
      </c>
      <c r="J36" s="73">
        <f t="shared" si="157"/>
        <v>0</v>
      </c>
      <c r="K36" s="68">
        <f t="shared" si="19"/>
        <v>29330</v>
      </c>
      <c r="L36" s="71">
        <v>26253.0</v>
      </c>
      <c r="M36" s="71">
        <v>0.0</v>
      </c>
      <c r="N36" s="68">
        <f t="shared" si="3"/>
        <v>26253</v>
      </c>
      <c r="O36" s="71">
        <v>3093.5251798561153</v>
      </c>
      <c r="P36" s="71">
        <v>0.0</v>
      </c>
      <c r="Q36" s="68">
        <f t="shared" si="4"/>
        <v>3093.52518</v>
      </c>
      <c r="R36" s="71">
        <f t="shared" ref="R36:S36" si="158">L36-O36</f>
        <v>23159.47482</v>
      </c>
      <c r="S36" s="71">
        <f t="shared" si="158"/>
        <v>0</v>
      </c>
      <c r="T36" s="68">
        <f t="shared" si="6"/>
        <v>23159.47482</v>
      </c>
      <c r="U36" s="71">
        <f t="shared" ref="U36:V36" si="159">R36*0.55</f>
        <v>12737.71115</v>
      </c>
      <c r="V36" s="71">
        <f t="shared" si="159"/>
        <v>0</v>
      </c>
      <c r="W36" s="68">
        <f t="shared" si="8"/>
        <v>12737.71115</v>
      </c>
      <c r="X36" s="71">
        <f t="shared" ref="X36:Y36" si="160">U36/0.95</f>
        <v>13408.117</v>
      </c>
      <c r="Y36" s="71">
        <f t="shared" si="160"/>
        <v>0</v>
      </c>
      <c r="Z36" s="68">
        <f t="shared" si="10"/>
        <v>13408.117</v>
      </c>
      <c r="AA36" s="71">
        <v>6416.8119</v>
      </c>
      <c r="AB36" s="71">
        <v>0.0</v>
      </c>
      <c r="AC36" s="68">
        <f t="shared" si="11"/>
        <v>6416.8119</v>
      </c>
      <c r="AD36" s="71">
        <f t="shared" ref="AD36:AE36" si="161">AA36*0.95</f>
        <v>6095.971305</v>
      </c>
      <c r="AE36" s="71">
        <f t="shared" si="161"/>
        <v>0</v>
      </c>
      <c r="AF36" s="68">
        <f t="shared" si="13"/>
        <v>6095.971305</v>
      </c>
      <c r="AG36" s="71">
        <v>230.0</v>
      </c>
      <c r="AH36" s="71">
        <v>0.0</v>
      </c>
      <c r="AI36" s="68">
        <f t="shared" si="14"/>
        <v>230</v>
      </c>
      <c r="AJ36" s="71">
        <f t="shared" ref="AJ36:AK36" si="162">AG36/1.05506</f>
        <v>217.9970807</v>
      </c>
      <c r="AK36" s="71">
        <f t="shared" si="162"/>
        <v>0</v>
      </c>
      <c r="AL36" s="68">
        <f t="shared" si="16"/>
        <v>217.9970807</v>
      </c>
    </row>
    <row r="37" ht="14.25" customHeight="1">
      <c r="B37" s="69">
        <v>45683.0</v>
      </c>
      <c r="C37" s="70"/>
      <c r="D37" s="70"/>
      <c r="E37" s="68">
        <f t="shared" si="1"/>
        <v>0</v>
      </c>
      <c r="F37" s="71">
        <v>81.0</v>
      </c>
      <c r="G37" s="71">
        <v>0.0</v>
      </c>
      <c r="H37" s="68">
        <f t="shared" si="17"/>
        <v>81</v>
      </c>
      <c r="I37" s="73">
        <f t="shared" ref="I37:J37" si="163">F37*55000*0.35/1000/0.55</f>
        <v>2835</v>
      </c>
      <c r="J37" s="73">
        <f t="shared" si="163"/>
        <v>0</v>
      </c>
      <c r="K37" s="68">
        <f t="shared" si="19"/>
        <v>2835</v>
      </c>
      <c r="L37" s="71">
        <v>25326.0</v>
      </c>
      <c r="M37" s="71">
        <v>0.0</v>
      </c>
      <c r="N37" s="68">
        <f t="shared" si="3"/>
        <v>25326</v>
      </c>
      <c r="O37" s="71">
        <v>3039.928057553957</v>
      </c>
      <c r="P37" s="71">
        <v>0.0</v>
      </c>
      <c r="Q37" s="68">
        <f t="shared" si="4"/>
        <v>3039.928058</v>
      </c>
      <c r="R37" s="71">
        <f t="shared" ref="R37:S37" si="164">L37-O37</f>
        <v>22286.07194</v>
      </c>
      <c r="S37" s="71">
        <f t="shared" si="164"/>
        <v>0</v>
      </c>
      <c r="T37" s="68">
        <f t="shared" si="6"/>
        <v>22286.07194</v>
      </c>
      <c r="U37" s="71">
        <f t="shared" ref="U37:V37" si="165">R37*0.55</f>
        <v>12257.33957</v>
      </c>
      <c r="V37" s="71">
        <f t="shared" si="165"/>
        <v>0</v>
      </c>
      <c r="W37" s="68">
        <f t="shared" si="8"/>
        <v>12257.33957</v>
      </c>
      <c r="X37" s="71">
        <f t="shared" ref="X37:Y37" si="166">U37/0.95</f>
        <v>12902.4627</v>
      </c>
      <c r="Y37" s="71">
        <f t="shared" si="166"/>
        <v>0</v>
      </c>
      <c r="Z37" s="68">
        <f t="shared" si="10"/>
        <v>12902.4627</v>
      </c>
      <c r="AA37" s="71">
        <v>3278.8992</v>
      </c>
      <c r="AB37" s="71">
        <v>0.0</v>
      </c>
      <c r="AC37" s="68">
        <f t="shared" si="11"/>
        <v>3278.8992</v>
      </c>
      <c r="AD37" s="71">
        <f t="shared" ref="AD37:AE37" si="167">AA37*0.95</f>
        <v>3114.95424</v>
      </c>
      <c r="AE37" s="71">
        <f t="shared" si="167"/>
        <v>0</v>
      </c>
      <c r="AF37" s="68">
        <f t="shared" si="13"/>
        <v>3114.95424</v>
      </c>
      <c r="AG37" s="71">
        <v>117.0</v>
      </c>
      <c r="AH37" s="71">
        <v>0.0</v>
      </c>
      <c r="AI37" s="68">
        <f t="shared" si="14"/>
        <v>117</v>
      </c>
      <c r="AJ37" s="71">
        <f t="shared" ref="AJ37:AK37" si="168">AG37/1.05506</f>
        <v>110.8941672</v>
      </c>
      <c r="AK37" s="71">
        <f t="shared" si="168"/>
        <v>0</v>
      </c>
      <c r="AL37" s="68">
        <f t="shared" si="16"/>
        <v>110.8941672</v>
      </c>
    </row>
    <row r="38" ht="14.25" customHeight="1">
      <c r="B38" s="69">
        <v>45684.0</v>
      </c>
      <c r="C38" s="70"/>
      <c r="D38" s="70"/>
      <c r="E38" s="68">
        <f t="shared" si="1"/>
        <v>0</v>
      </c>
      <c r="F38" s="71">
        <v>915.0</v>
      </c>
      <c r="G38" s="71">
        <v>0.0</v>
      </c>
      <c r="H38" s="68">
        <f t="shared" si="17"/>
        <v>915</v>
      </c>
      <c r="I38" s="73">
        <f t="shared" ref="I38:J38" si="169">F38*55000*0.35/1000/0.55</f>
        <v>32025</v>
      </c>
      <c r="J38" s="73">
        <f t="shared" si="169"/>
        <v>0</v>
      </c>
      <c r="K38" s="68">
        <f t="shared" si="19"/>
        <v>32025</v>
      </c>
      <c r="L38" s="71">
        <v>7351.0</v>
      </c>
      <c r="M38" s="71">
        <v>0.0</v>
      </c>
      <c r="N38" s="68">
        <f t="shared" si="3"/>
        <v>7351</v>
      </c>
      <c r="O38" s="71">
        <v>138.84892086330936</v>
      </c>
      <c r="P38" s="71">
        <v>0.0</v>
      </c>
      <c r="Q38" s="68">
        <f t="shared" si="4"/>
        <v>138.8489209</v>
      </c>
      <c r="R38" s="71">
        <f t="shared" ref="R38:S38" si="170">L38-O38</f>
        <v>7212.151079</v>
      </c>
      <c r="S38" s="71">
        <f t="shared" si="170"/>
        <v>0</v>
      </c>
      <c r="T38" s="68">
        <f t="shared" si="6"/>
        <v>7212.151079</v>
      </c>
      <c r="U38" s="71">
        <f t="shared" ref="U38:V38" si="171">R38*0.55</f>
        <v>3966.683094</v>
      </c>
      <c r="V38" s="71">
        <f t="shared" si="171"/>
        <v>0</v>
      </c>
      <c r="W38" s="68">
        <f t="shared" si="8"/>
        <v>3966.683094</v>
      </c>
      <c r="X38" s="71">
        <f t="shared" ref="X38:Y38" si="172">U38/0.95</f>
        <v>4175.455888</v>
      </c>
      <c r="Y38" s="71">
        <f t="shared" si="172"/>
        <v>0</v>
      </c>
      <c r="Z38" s="68">
        <f t="shared" si="10"/>
        <v>4175.455888</v>
      </c>
      <c r="AA38" s="71">
        <v>0.0</v>
      </c>
      <c r="AB38" s="71">
        <v>0.0</v>
      </c>
      <c r="AC38" s="68">
        <f t="shared" si="11"/>
        <v>0</v>
      </c>
      <c r="AD38" s="71">
        <f t="shared" ref="AD38:AE38" si="173">AA38*0.95</f>
        <v>0</v>
      </c>
      <c r="AE38" s="71">
        <f t="shared" si="173"/>
        <v>0</v>
      </c>
      <c r="AF38" s="68">
        <f t="shared" si="13"/>
        <v>0</v>
      </c>
      <c r="AG38" s="71">
        <v>0.0</v>
      </c>
      <c r="AH38" s="71">
        <v>0.0</v>
      </c>
      <c r="AI38" s="68">
        <f t="shared" si="14"/>
        <v>0</v>
      </c>
      <c r="AJ38" s="71">
        <f t="shared" ref="AJ38:AK38" si="174">AG38/1.05506</f>
        <v>0</v>
      </c>
      <c r="AK38" s="71">
        <f t="shared" si="174"/>
        <v>0</v>
      </c>
      <c r="AL38" s="68">
        <f t="shared" si="16"/>
        <v>0</v>
      </c>
    </row>
    <row r="39" ht="14.25" customHeight="1">
      <c r="B39" s="69">
        <v>45685.0</v>
      </c>
      <c r="C39" s="70"/>
      <c r="D39" s="70"/>
      <c r="E39" s="68">
        <f t="shared" si="1"/>
        <v>0</v>
      </c>
      <c r="F39" s="71">
        <v>268.0</v>
      </c>
      <c r="G39" s="71">
        <v>0.0</v>
      </c>
      <c r="H39" s="68">
        <f t="shared" si="17"/>
        <v>268</v>
      </c>
      <c r="I39" s="73">
        <f t="shared" ref="I39:J39" si="175">F39*55000*0.35/1000/0.55</f>
        <v>9380</v>
      </c>
      <c r="J39" s="73">
        <f t="shared" si="175"/>
        <v>0</v>
      </c>
      <c r="K39" s="68">
        <f t="shared" si="19"/>
        <v>9380</v>
      </c>
      <c r="L39" s="71">
        <v>0.0</v>
      </c>
      <c r="M39" s="71">
        <v>0.0</v>
      </c>
      <c r="N39" s="68">
        <f t="shared" si="3"/>
        <v>0</v>
      </c>
      <c r="O39" s="71">
        <v>0.0</v>
      </c>
      <c r="P39" s="71">
        <v>0.0</v>
      </c>
      <c r="Q39" s="68">
        <f t="shared" si="4"/>
        <v>0</v>
      </c>
      <c r="R39" s="71">
        <f t="shared" ref="R39:S39" si="176">L39-O39</f>
        <v>0</v>
      </c>
      <c r="S39" s="71">
        <f t="shared" si="176"/>
        <v>0</v>
      </c>
      <c r="T39" s="68">
        <f t="shared" si="6"/>
        <v>0</v>
      </c>
      <c r="U39" s="71">
        <f t="shared" ref="U39:V39" si="177">R39*0.55</f>
        <v>0</v>
      </c>
      <c r="V39" s="71">
        <f t="shared" si="177"/>
        <v>0</v>
      </c>
      <c r="W39" s="68">
        <f t="shared" si="8"/>
        <v>0</v>
      </c>
      <c r="X39" s="71">
        <f t="shared" ref="X39:Y39" si="178">U39/0.95</f>
        <v>0</v>
      </c>
      <c r="Y39" s="71">
        <f t="shared" si="178"/>
        <v>0</v>
      </c>
      <c r="Z39" s="68">
        <f t="shared" si="10"/>
        <v>0</v>
      </c>
      <c r="AA39" s="71">
        <v>1.5516</v>
      </c>
      <c r="AB39" s="71">
        <v>0.0</v>
      </c>
      <c r="AC39" s="68">
        <f t="shared" si="11"/>
        <v>1.5516</v>
      </c>
      <c r="AD39" s="71">
        <f t="shared" ref="AD39:AE39" si="179">AA39*0.95</f>
        <v>1.47402</v>
      </c>
      <c r="AE39" s="71">
        <f t="shared" si="179"/>
        <v>0</v>
      </c>
      <c r="AF39" s="68">
        <f t="shared" si="13"/>
        <v>1.47402</v>
      </c>
      <c r="AG39" s="71">
        <v>0.0</v>
      </c>
      <c r="AH39" s="71">
        <v>0.0</v>
      </c>
      <c r="AI39" s="68">
        <f t="shared" si="14"/>
        <v>0</v>
      </c>
      <c r="AJ39" s="71">
        <f t="shared" ref="AJ39:AK39" si="180">AG39/1.05506</f>
        <v>0</v>
      </c>
      <c r="AK39" s="71">
        <f t="shared" si="180"/>
        <v>0</v>
      </c>
      <c r="AL39" s="68">
        <f t="shared" si="16"/>
        <v>0</v>
      </c>
    </row>
    <row r="40" ht="14.25" customHeight="1">
      <c r="B40" s="69">
        <v>45686.0</v>
      </c>
      <c r="C40" s="70"/>
      <c r="D40" s="70"/>
      <c r="E40" s="68">
        <f t="shared" si="1"/>
        <v>0</v>
      </c>
      <c r="F40" s="71">
        <v>77.0</v>
      </c>
      <c r="G40" s="71">
        <v>0.0</v>
      </c>
      <c r="H40" s="68">
        <f t="shared" si="17"/>
        <v>77</v>
      </c>
      <c r="I40" s="73">
        <f t="shared" ref="I40:J40" si="181">F40*55000*0.35/1000/0.55</f>
        <v>2695</v>
      </c>
      <c r="J40" s="73">
        <f t="shared" si="181"/>
        <v>0</v>
      </c>
      <c r="K40" s="68">
        <f t="shared" si="19"/>
        <v>2695</v>
      </c>
      <c r="L40" s="71">
        <v>0.0</v>
      </c>
      <c r="M40" s="71">
        <v>0.0</v>
      </c>
      <c r="N40" s="68">
        <f t="shared" si="3"/>
        <v>0</v>
      </c>
      <c r="O40" s="71">
        <v>0.0</v>
      </c>
      <c r="P40" s="71">
        <v>0.0</v>
      </c>
      <c r="Q40" s="68">
        <f t="shared" si="4"/>
        <v>0</v>
      </c>
      <c r="R40" s="71">
        <f t="shared" ref="R40:S40" si="182">L40-O40</f>
        <v>0</v>
      </c>
      <c r="S40" s="71">
        <f t="shared" si="182"/>
        <v>0</v>
      </c>
      <c r="T40" s="68">
        <f t="shared" si="6"/>
        <v>0</v>
      </c>
      <c r="U40" s="71">
        <f t="shared" ref="U40:V40" si="183">R40*0.55</f>
        <v>0</v>
      </c>
      <c r="V40" s="71">
        <f t="shared" si="183"/>
        <v>0</v>
      </c>
      <c r="W40" s="68">
        <f t="shared" si="8"/>
        <v>0</v>
      </c>
      <c r="X40" s="71">
        <f t="shared" ref="X40:Y40" si="184">U40/0.95</f>
        <v>0</v>
      </c>
      <c r="Y40" s="71">
        <f t="shared" si="184"/>
        <v>0</v>
      </c>
      <c r="Z40" s="68">
        <f t="shared" si="10"/>
        <v>0</v>
      </c>
      <c r="AA40" s="71">
        <v>0.0</v>
      </c>
      <c r="AB40" s="71">
        <v>0.0</v>
      </c>
      <c r="AC40" s="68">
        <f t="shared" si="11"/>
        <v>0</v>
      </c>
      <c r="AD40" s="71">
        <f t="shared" ref="AD40:AE40" si="185">AA40*0.95</f>
        <v>0</v>
      </c>
      <c r="AE40" s="71">
        <f t="shared" si="185"/>
        <v>0</v>
      </c>
      <c r="AF40" s="68">
        <f t="shared" si="13"/>
        <v>0</v>
      </c>
      <c r="AG40" s="71">
        <v>0.0</v>
      </c>
      <c r="AH40" s="71">
        <v>0.0</v>
      </c>
      <c r="AI40" s="68">
        <f t="shared" si="14"/>
        <v>0</v>
      </c>
      <c r="AJ40" s="71">
        <f t="shared" ref="AJ40:AK40" si="186">AG40/1.05506</f>
        <v>0</v>
      </c>
      <c r="AK40" s="71">
        <f t="shared" si="186"/>
        <v>0</v>
      </c>
      <c r="AL40" s="68">
        <f t="shared" si="16"/>
        <v>0</v>
      </c>
    </row>
    <row r="41" ht="14.25" customHeight="1">
      <c r="B41" s="69">
        <v>45687.0</v>
      </c>
      <c r="C41" s="70"/>
      <c r="D41" s="70"/>
      <c r="E41" s="68">
        <f t="shared" si="1"/>
        <v>0</v>
      </c>
      <c r="F41" s="71">
        <v>1120.0</v>
      </c>
      <c r="G41" s="71">
        <v>0.0</v>
      </c>
      <c r="H41" s="68">
        <f t="shared" si="17"/>
        <v>1120</v>
      </c>
      <c r="I41" s="73">
        <f t="shared" ref="I41:J41" si="187">F41*55000*0.35/1000/0.55</f>
        <v>39200</v>
      </c>
      <c r="J41" s="73">
        <f t="shared" si="187"/>
        <v>0</v>
      </c>
      <c r="K41" s="68">
        <f t="shared" si="19"/>
        <v>39200</v>
      </c>
      <c r="L41" s="71">
        <v>0.0</v>
      </c>
      <c r="M41" s="71">
        <v>0.0</v>
      </c>
      <c r="N41" s="68">
        <f t="shared" si="3"/>
        <v>0</v>
      </c>
      <c r="O41" s="71">
        <v>0.0</v>
      </c>
      <c r="P41" s="71">
        <v>0.0</v>
      </c>
      <c r="Q41" s="68">
        <f t="shared" si="4"/>
        <v>0</v>
      </c>
      <c r="R41" s="71">
        <f t="shared" ref="R41:S41" si="188">L41-O41</f>
        <v>0</v>
      </c>
      <c r="S41" s="71">
        <f t="shared" si="188"/>
        <v>0</v>
      </c>
      <c r="T41" s="68">
        <f t="shared" si="6"/>
        <v>0</v>
      </c>
      <c r="U41" s="71">
        <f t="shared" ref="U41:V41" si="189">R41*0.55</f>
        <v>0</v>
      </c>
      <c r="V41" s="71">
        <f t="shared" si="189"/>
        <v>0</v>
      </c>
      <c r="W41" s="68">
        <f t="shared" si="8"/>
        <v>0</v>
      </c>
      <c r="X41" s="71">
        <f t="shared" ref="X41:Y41" si="190">U41/0.95</f>
        <v>0</v>
      </c>
      <c r="Y41" s="71">
        <f t="shared" si="190"/>
        <v>0</v>
      </c>
      <c r="Z41" s="68">
        <f t="shared" si="10"/>
        <v>0</v>
      </c>
      <c r="AA41" s="71">
        <v>0.0</v>
      </c>
      <c r="AB41" s="71">
        <v>0.0</v>
      </c>
      <c r="AC41" s="68">
        <f t="shared" si="11"/>
        <v>0</v>
      </c>
      <c r="AD41" s="71">
        <f t="shared" ref="AD41:AE41" si="191">AA41*0.95</f>
        <v>0</v>
      </c>
      <c r="AE41" s="71">
        <f t="shared" si="191"/>
        <v>0</v>
      </c>
      <c r="AF41" s="68">
        <f t="shared" si="13"/>
        <v>0</v>
      </c>
      <c r="AG41" s="71">
        <v>0.0</v>
      </c>
      <c r="AH41" s="71">
        <v>0.0</v>
      </c>
      <c r="AI41" s="68">
        <f t="shared" si="14"/>
        <v>0</v>
      </c>
      <c r="AJ41" s="71">
        <f t="shared" ref="AJ41:AK41" si="192">AG41/1.05506</f>
        <v>0</v>
      </c>
      <c r="AK41" s="71">
        <f t="shared" si="192"/>
        <v>0</v>
      </c>
      <c r="AL41" s="68">
        <f t="shared" si="16"/>
        <v>0</v>
      </c>
    </row>
    <row r="42" ht="14.25" customHeight="1">
      <c r="B42" s="69">
        <v>45688.0</v>
      </c>
      <c r="C42" s="70"/>
      <c r="D42" s="70"/>
      <c r="E42" s="68">
        <f t="shared" si="1"/>
        <v>0</v>
      </c>
      <c r="F42" s="71">
        <v>0.0</v>
      </c>
      <c r="G42" s="71">
        <v>0.0</v>
      </c>
      <c r="H42" s="68">
        <f t="shared" si="17"/>
        <v>0</v>
      </c>
      <c r="I42" s="73">
        <f t="shared" ref="I42:J42" si="193">F42*55000*0.35/1000/0.55</f>
        <v>0</v>
      </c>
      <c r="J42" s="73">
        <f t="shared" si="193"/>
        <v>0</v>
      </c>
      <c r="K42" s="68">
        <f t="shared" si="19"/>
        <v>0</v>
      </c>
      <c r="L42" s="71">
        <v>0.0</v>
      </c>
      <c r="M42" s="71">
        <v>0.0</v>
      </c>
      <c r="N42" s="68">
        <f t="shared" si="3"/>
        <v>0</v>
      </c>
      <c r="O42" s="71">
        <v>0.0</v>
      </c>
      <c r="P42" s="71">
        <v>0.0</v>
      </c>
      <c r="Q42" s="68">
        <f t="shared" si="4"/>
        <v>0</v>
      </c>
      <c r="R42" s="71">
        <f t="shared" ref="R42:S42" si="194">L42-O42</f>
        <v>0</v>
      </c>
      <c r="S42" s="71">
        <f t="shared" si="194"/>
        <v>0</v>
      </c>
      <c r="T42" s="68">
        <f t="shared" si="6"/>
        <v>0</v>
      </c>
      <c r="U42" s="71">
        <f t="shared" ref="U42:V42" si="195">R42*0.55</f>
        <v>0</v>
      </c>
      <c r="V42" s="71">
        <f t="shared" si="195"/>
        <v>0</v>
      </c>
      <c r="W42" s="68">
        <f t="shared" si="8"/>
        <v>0</v>
      </c>
      <c r="X42" s="71">
        <f t="shared" ref="X42:Y42" si="196">U42/0.95</f>
        <v>0</v>
      </c>
      <c r="Y42" s="71">
        <f t="shared" si="196"/>
        <v>0</v>
      </c>
      <c r="Z42" s="68">
        <f t="shared" si="10"/>
        <v>0</v>
      </c>
      <c r="AA42" s="71">
        <v>0.0</v>
      </c>
      <c r="AB42" s="71">
        <v>0.0</v>
      </c>
      <c r="AC42" s="68">
        <f t="shared" si="11"/>
        <v>0</v>
      </c>
      <c r="AD42" s="71">
        <f t="shared" ref="AD42:AE42" si="197">AA42*0.95</f>
        <v>0</v>
      </c>
      <c r="AE42" s="71">
        <f t="shared" si="197"/>
        <v>0</v>
      </c>
      <c r="AF42" s="68">
        <f t="shared" si="13"/>
        <v>0</v>
      </c>
      <c r="AG42" s="71">
        <v>0.0</v>
      </c>
      <c r="AH42" s="71">
        <v>0.0</v>
      </c>
      <c r="AI42" s="68">
        <f t="shared" si="14"/>
        <v>0</v>
      </c>
      <c r="AJ42" s="71">
        <f t="shared" ref="AJ42:AK42" si="198">AG42/1.05506</f>
        <v>0</v>
      </c>
      <c r="AK42" s="71">
        <f t="shared" si="198"/>
        <v>0</v>
      </c>
      <c r="AL42" s="68">
        <f t="shared" si="16"/>
        <v>0</v>
      </c>
    </row>
    <row r="43" ht="15.0" customHeight="1">
      <c r="B43" s="76" t="s">
        <v>49</v>
      </c>
      <c r="C43" s="77">
        <f t="shared" ref="C43:D43" si="199">SUM(C11:C42)</f>
        <v>0</v>
      </c>
      <c r="D43" s="77">
        <f t="shared" si="199"/>
        <v>0</v>
      </c>
      <c r="E43" s="77"/>
      <c r="F43" s="77">
        <f t="shared" ref="F43:AI43" si="200">SUM(F12:F42)</f>
        <v>21206</v>
      </c>
      <c r="G43" s="77">
        <f t="shared" si="200"/>
        <v>0</v>
      </c>
      <c r="H43" s="77">
        <f t="shared" si="200"/>
        <v>21206</v>
      </c>
      <c r="I43" s="77">
        <f t="shared" si="200"/>
        <v>742210</v>
      </c>
      <c r="J43" s="77">
        <f t="shared" si="200"/>
        <v>0</v>
      </c>
      <c r="K43" s="77">
        <f t="shared" si="200"/>
        <v>742210</v>
      </c>
      <c r="L43" s="77">
        <f t="shared" si="200"/>
        <v>542487</v>
      </c>
      <c r="M43" s="77">
        <f t="shared" si="200"/>
        <v>0</v>
      </c>
      <c r="N43" s="77">
        <f t="shared" si="200"/>
        <v>542487</v>
      </c>
      <c r="O43" s="77">
        <f t="shared" si="200"/>
        <v>66158.63309</v>
      </c>
      <c r="P43" s="77">
        <f t="shared" si="200"/>
        <v>0</v>
      </c>
      <c r="Q43" s="77">
        <f t="shared" si="200"/>
        <v>66158.63309</v>
      </c>
      <c r="R43" s="77">
        <f t="shared" si="200"/>
        <v>476328.3669</v>
      </c>
      <c r="S43" s="77">
        <f t="shared" si="200"/>
        <v>0</v>
      </c>
      <c r="T43" s="77">
        <f t="shared" si="200"/>
        <v>476328.3669</v>
      </c>
      <c r="U43" s="77">
        <f t="shared" si="200"/>
        <v>261980.6018</v>
      </c>
      <c r="V43" s="77">
        <f t="shared" si="200"/>
        <v>0</v>
      </c>
      <c r="W43" s="77">
        <f t="shared" si="200"/>
        <v>261980.6018</v>
      </c>
      <c r="X43" s="77">
        <f t="shared" si="200"/>
        <v>275769.0545</v>
      </c>
      <c r="Y43" s="77">
        <f t="shared" si="200"/>
        <v>0</v>
      </c>
      <c r="Z43" s="77">
        <f t="shared" si="200"/>
        <v>275769.0545</v>
      </c>
      <c r="AA43" s="77">
        <f t="shared" si="200"/>
        <v>67656.3469</v>
      </c>
      <c r="AB43" s="77">
        <f t="shared" si="200"/>
        <v>0</v>
      </c>
      <c r="AC43" s="77">
        <f t="shared" si="200"/>
        <v>67656.3469</v>
      </c>
      <c r="AD43" s="77">
        <f t="shared" si="200"/>
        <v>64273.52956</v>
      </c>
      <c r="AE43" s="77">
        <f t="shared" si="200"/>
        <v>0</v>
      </c>
      <c r="AF43" s="77">
        <f t="shared" si="200"/>
        <v>64273.52956</v>
      </c>
      <c r="AG43" s="77">
        <f t="shared" si="200"/>
        <v>2451</v>
      </c>
      <c r="AH43" s="77">
        <f t="shared" si="200"/>
        <v>0</v>
      </c>
      <c r="AI43" s="77">
        <f t="shared" si="200"/>
        <v>2451</v>
      </c>
      <c r="AJ43" s="78">
        <v>2323.0</v>
      </c>
      <c r="AK43" s="77">
        <f t="shared" ref="AK43:AL43" si="201">SUM(AK12:AK42)</f>
        <v>0</v>
      </c>
      <c r="AL43" s="77">
        <f t="shared" si="201"/>
        <v>2323.09063</v>
      </c>
      <c r="AN43" s="75">
        <f>AF43/Z43*100</f>
        <v>23.30701306</v>
      </c>
      <c r="AO43" s="83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80"/>
      <c r="V45" s="80"/>
      <c r="W45" s="80"/>
      <c r="X45" s="80"/>
      <c r="Y45" s="80"/>
      <c r="Z45" s="80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 ht="15.75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5.7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5.7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5.75" customHeight="1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56"/>
      <c r="U59" s="56"/>
      <c r="V59" s="56"/>
      <c r="W59" s="56"/>
      <c r="X59" s="56"/>
      <c r="Y59" s="56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4.25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81"/>
      <c r="U60" s="81"/>
      <c r="V60" s="81"/>
      <c r="W60" s="81"/>
      <c r="X60" s="81"/>
      <c r="Y60" s="81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</row>
    <row r="61" ht="14.25" customHeight="1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2"/>
      <c r="V67" s="82"/>
      <c r="W67" s="82"/>
      <c r="X67" s="82"/>
      <c r="Y67" s="82"/>
      <c r="Z67" s="82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56"/>
      <c r="V70" s="56"/>
      <c r="W70" s="56"/>
      <c r="X70" s="56"/>
      <c r="Y70" s="56"/>
      <c r="Z70" s="56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45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45688.0</v>
      </c>
      <c r="C11" s="67"/>
      <c r="D11" s="67"/>
      <c r="E11" s="68">
        <f t="shared" ref="E11:E39" si="1">SUM(C11+D11)</f>
        <v>0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39" si="3">SUM(L11+M11)</f>
        <v>0</v>
      </c>
      <c r="O11" s="68"/>
      <c r="P11" s="68"/>
      <c r="Q11" s="68">
        <f t="shared" ref="Q11:Q39" si="4">SUM(O11+P11)</f>
        <v>0</v>
      </c>
      <c r="R11" s="68"/>
      <c r="S11" s="68"/>
      <c r="T11" s="68">
        <f t="shared" ref="T11:T39" si="6">SUM(R11+S11)</f>
        <v>0</v>
      </c>
      <c r="U11" s="68"/>
      <c r="V11" s="68"/>
      <c r="W11" s="68">
        <f t="shared" ref="W11:W39" si="8">SUM(U11+V11)</f>
        <v>0</v>
      </c>
      <c r="X11" s="68"/>
      <c r="Y11" s="68"/>
      <c r="Z11" s="68">
        <f t="shared" ref="Z11:Z39" si="10">SUM(X11+Y11)</f>
        <v>0</v>
      </c>
      <c r="AA11" s="68"/>
      <c r="AB11" s="68"/>
      <c r="AC11" s="68">
        <f t="shared" ref="AC11:AC39" si="11">SUM(AA11+AB11)</f>
        <v>0</v>
      </c>
      <c r="AD11" s="68"/>
      <c r="AE11" s="68"/>
      <c r="AF11" s="68">
        <f t="shared" ref="AF11:AF39" si="13">SUM(AD11+AE11)</f>
        <v>0</v>
      </c>
      <c r="AG11" s="68"/>
      <c r="AH11" s="68"/>
      <c r="AI11" s="68">
        <f t="shared" ref="AI11:AI39" si="14">SUM(AG11+AH11)</f>
        <v>0</v>
      </c>
      <c r="AJ11" s="68"/>
      <c r="AK11" s="68"/>
      <c r="AL11" s="68">
        <f t="shared" ref="AL11:AL39" si="16">SUM(AJ11+AK11)</f>
        <v>0</v>
      </c>
    </row>
    <row r="12" ht="18.0" customHeight="1">
      <c r="B12" s="69">
        <v>45689.0</v>
      </c>
      <c r="C12" s="70"/>
      <c r="D12" s="70"/>
      <c r="E12" s="68">
        <f t="shared" si="1"/>
        <v>0</v>
      </c>
      <c r="F12" s="71">
        <v>0.0</v>
      </c>
      <c r="G12" s="71">
        <v>0.0</v>
      </c>
      <c r="H12" s="68">
        <f t="shared" ref="H12:H39" si="17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39" si="19">J12+I12</f>
        <v>0</v>
      </c>
      <c r="L12" s="71">
        <v>0.0</v>
      </c>
      <c r="M12" s="71">
        <v>0.0</v>
      </c>
      <c r="N12" s="68">
        <f t="shared" si="3"/>
        <v>0</v>
      </c>
      <c r="O12" s="71">
        <v>0.0</v>
      </c>
      <c r="P12" s="71">
        <v>0.0</v>
      </c>
      <c r="Q12" s="68">
        <f t="shared" si="4"/>
        <v>0</v>
      </c>
      <c r="R12" s="71">
        <f t="shared" ref="R12:S12" si="5">L12-O12</f>
        <v>0</v>
      </c>
      <c r="S12" s="71">
        <f t="shared" si="5"/>
        <v>0</v>
      </c>
      <c r="T12" s="68">
        <f t="shared" si="6"/>
        <v>0</v>
      </c>
      <c r="U12" s="71">
        <f t="shared" ref="U12:V12" si="7">R12*0.55</f>
        <v>0</v>
      </c>
      <c r="V12" s="71">
        <f t="shared" si="7"/>
        <v>0</v>
      </c>
      <c r="W12" s="68">
        <f t="shared" si="8"/>
        <v>0</v>
      </c>
      <c r="X12" s="71">
        <f t="shared" ref="X12:Y12" si="9">U12/0.95</f>
        <v>0</v>
      </c>
      <c r="Y12" s="71">
        <f t="shared" si="9"/>
        <v>0</v>
      </c>
      <c r="Z12" s="68">
        <f t="shared" si="10"/>
        <v>0</v>
      </c>
      <c r="AA12" s="71">
        <v>0.0</v>
      </c>
      <c r="AB12" s="71">
        <v>0.0</v>
      </c>
      <c r="AC12" s="68">
        <f t="shared" si="11"/>
        <v>0</v>
      </c>
      <c r="AD12" s="71">
        <f t="shared" ref="AD12:AE12" si="12">AA12*0.95</f>
        <v>0</v>
      </c>
      <c r="AE12" s="71">
        <f t="shared" si="12"/>
        <v>0</v>
      </c>
      <c r="AF12" s="68">
        <f t="shared" si="13"/>
        <v>0</v>
      </c>
      <c r="AG12" s="71">
        <v>0.0</v>
      </c>
      <c r="AH12" s="71">
        <v>0.0</v>
      </c>
      <c r="AI12" s="68">
        <f t="shared" si="14"/>
        <v>0</v>
      </c>
      <c r="AJ12" s="71">
        <f t="shared" ref="AJ12:AK12" si="15">AG12/1.05506</f>
        <v>0</v>
      </c>
      <c r="AK12" s="71">
        <f t="shared" si="15"/>
        <v>0</v>
      </c>
      <c r="AL12" s="68">
        <f t="shared" si="16"/>
        <v>0</v>
      </c>
    </row>
    <row r="13" ht="14.25" customHeight="1">
      <c r="B13" s="69">
        <v>45690.0</v>
      </c>
      <c r="C13" s="70"/>
      <c r="D13" s="70"/>
      <c r="E13" s="68">
        <f t="shared" si="1"/>
        <v>0</v>
      </c>
      <c r="F13" s="71">
        <v>0.0</v>
      </c>
      <c r="G13" s="71">
        <v>0.0</v>
      </c>
      <c r="H13" s="68">
        <f t="shared" si="17"/>
        <v>0</v>
      </c>
      <c r="I13" s="73">
        <f t="shared" ref="I13:J13" si="18">F13*55000*0.35/1000/0.55</f>
        <v>0</v>
      </c>
      <c r="J13" s="73">
        <f t="shared" si="18"/>
        <v>0</v>
      </c>
      <c r="K13" s="68">
        <f t="shared" si="19"/>
        <v>0</v>
      </c>
      <c r="L13" s="71">
        <v>0.0</v>
      </c>
      <c r="M13" s="71">
        <v>0.0</v>
      </c>
      <c r="N13" s="68">
        <f t="shared" si="3"/>
        <v>0</v>
      </c>
      <c r="O13" s="71">
        <v>0.0</v>
      </c>
      <c r="P13" s="71">
        <v>0.0</v>
      </c>
      <c r="Q13" s="68">
        <f t="shared" si="4"/>
        <v>0</v>
      </c>
      <c r="R13" s="71">
        <f t="shared" ref="R13:S13" si="20">L13-O13</f>
        <v>0</v>
      </c>
      <c r="S13" s="71">
        <f t="shared" si="20"/>
        <v>0</v>
      </c>
      <c r="T13" s="68">
        <f t="shared" si="6"/>
        <v>0</v>
      </c>
      <c r="U13" s="71">
        <f t="shared" ref="U13:V13" si="21">R13*0.55</f>
        <v>0</v>
      </c>
      <c r="V13" s="71">
        <f t="shared" si="21"/>
        <v>0</v>
      </c>
      <c r="W13" s="68">
        <f t="shared" si="8"/>
        <v>0</v>
      </c>
      <c r="X13" s="71">
        <f t="shared" ref="X13:Y13" si="22">U13/0.95</f>
        <v>0</v>
      </c>
      <c r="Y13" s="71">
        <f t="shared" si="22"/>
        <v>0</v>
      </c>
      <c r="Z13" s="68">
        <f t="shared" si="10"/>
        <v>0</v>
      </c>
      <c r="AA13" s="71">
        <v>0.0</v>
      </c>
      <c r="AB13" s="71">
        <v>0.0</v>
      </c>
      <c r="AC13" s="68">
        <f t="shared" si="11"/>
        <v>0</v>
      </c>
      <c r="AD13" s="71">
        <f t="shared" ref="AD13:AE13" si="23">AA13*0.95</f>
        <v>0</v>
      </c>
      <c r="AE13" s="71">
        <f t="shared" si="23"/>
        <v>0</v>
      </c>
      <c r="AF13" s="68">
        <f t="shared" si="13"/>
        <v>0</v>
      </c>
      <c r="AG13" s="71">
        <v>0.0</v>
      </c>
      <c r="AH13" s="71">
        <v>0.0</v>
      </c>
      <c r="AI13" s="68">
        <f t="shared" si="14"/>
        <v>0</v>
      </c>
      <c r="AJ13" s="71">
        <f t="shared" ref="AJ13:AK13" si="24">AG13/1.05506</f>
        <v>0</v>
      </c>
      <c r="AK13" s="71">
        <f t="shared" si="24"/>
        <v>0</v>
      </c>
      <c r="AL13" s="68">
        <f t="shared" si="16"/>
        <v>0</v>
      </c>
    </row>
    <row r="14" ht="14.25" customHeight="1">
      <c r="B14" s="69">
        <v>45691.0</v>
      </c>
      <c r="C14" s="70"/>
      <c r="D14" s="70"/>
      <c r="E14" s="68">
        <f t="shared" si="1"/>
        <v>0</v>
      </c>
      <c r="F14" s="71">
        <v>0.0</v>
      </c>
      <c r="G14" s="71">
        <v>0.0</v>
      </c>
      <c r="H14" s="68">
        <f t="shared" si="17"/>
        <v>0</v>
      </c>
      <c r="I14" s="73">
        <f t="shared" ref="I14:J14" si="25">F14*55000*0.35/1000/0.55</f>
        <v>0</v>
      </c>
      <c r="J14" s="73">
        <f t="shared" si="25"/>
        <v>0</v>
      </c>
      <c r="K14" s="68">
        <f t="shared" si="19"/>
        <v>0</v>
      </c>
      <c r="L14" s="71">
        <v>0.0</v>
      </c>
      <c r="M14" s="71">
        <v>0.0</v>
      </c>
      <c r="N14" s="68">
        <f t="shared" si="3"/>
        <v>0</v>
      </c>
      <c r="O14" s="71">
        <v>0.0</v>
      </c>
      <c r="P14" s="71">
        <v>0.0</v>
      </c>
      <c r="Q14" s="68">
        <f t="shared" si="4"/>
        <v>0</v>
      </c>
      <c r="R14" s="71">
        <f t="shared" ref="R14:S14" si="26">L14-O14</f>
        <v>0</v>
      </c>
      <c r="S14" s="71">
        <f t="shared" si="26"/>
        <v>0</v>
      </c>
      <c r="T14" s="68">
        <f t="shared" si="6"/>
        <v>0</v>
      </c>
      <c r="U14" s="71">
        <f t="shared" ref="U14:V14" si="27">R14*0.55</f>
        <v>0</v>
      </c>
      <c r="V14" s="71">
        <f t="shared" si="27"/>
        <v>0</v>
      </c>
      <c r="W14" s="68">
        <f t="shared" si="8"/>
        <v>0</v>
      </c>
      <c r="X14" s="71">
        <f t="shared" ref="X14:Y14" si="28">U14/0.95</f>
        <v>0</v>
      </c>
      <c r="Y14" s="71">
        <f t="shared" si="28"/>
        <v>0</v>
      </c>
      <c r="Z14" s="68">
        <f t="shared" si="10"/>
        <v>0</v>
      </c>
      <c r="AA14" s="71">
        <v>0.0</v>
      </c>
      <c r="AB14" s="71">
        <v>0.0</v>
      </c>
      <c r="AC14" s="68">
        <f t="shared" si="11"/>
        <v>0</v>
      </c>
      <c r="AD14" s="71">
        <f t="shared" ref="AD14:AE14" si="29">AA14*0.95</f>
        <v>0</v>
      </c>
      <c r="AE14" s="71">
        <f t="shared" si="29"/>
        <v>0</v>
      </c>
      <c r="AF14" s="68">
        <f t="shared" si="13"/>
        <v>0</v>
      </c>
      <c r="AG14" s="71">
        <v>0.0</v>
      </c>
      <c r="AH14" s="71">
        <v>0.0</v>
      </c>
      <c r="AI14" s="68">
        <f t="shared" si="14"/>
        <v>0</v>
      </c>
      <c r="AJ14" s="71">
        <f t="shared" ref="AJ14:AK14" si="30">AG14/1.05506</f>
        <v>0</v>
      </c>
      <c r="AK14" s="71">
        <f t="shared" si="30"/>
        <v>0</v>
      </c>
      <c r="AL14" s="68">
        <f t="shared" si="16"/>
        <v>0</v>
      </c>
    </row>
    <row r="15" ht="14.25" customHeight="1">
      <c r="B15" s="69">
        <v>45692.0</v>
      </c>
      <c r="C15" s="70"/>
      <c r="D15" s="70"/>
      <c r="E15" s="68">
        <f t="shared" si="1"/>
        <v>0</v>
      </c>
      <c r="F15" s="71">
        <v>986.0</v>
      </c>
      <c r="G15" s="71">
        <v>0.0</v>
      </c>
      <c r="H15" s="68">
        <f t="shared" si="17"/>
        <v>986</v>
      </c>
      <c r="I15" s="73">
        <f t="shared" ref="I15:J15" si="31">F15*55000*0.35/1000/0.55</f>
        <v>34510</v>
      </c>
      <c r="J15" s="73">
        <f t="shared" si="31"/>
        <v>0</v>
      </c>
      <c r="K15" s="68">
        <f t="shared" si="19"/>
        <v>34510</v>
      </c>
      <c r="L15" s="71">
        <v>0.0</v>
      </c>
      <c r="M15" s="71">
        <v>0.0</v>
      </c>
      <c r="N15" s="68">
        <f t="shared" si="3"/>
        <v>0</v>
      </c>
      <c r="O15" s="71">
        <v>0.0</v>
      </c>
      <c r="P15" s="71">
        <v>0.0</v>
      </c>
      <c r="Q15" s="68">
        <f t="shared" si="4"/>
        <v>0</v>
      </c>
      <c r="R15" s="71">
        <f t="shared" ref="R15:S15" si="32">L15-O15</f>
        <v>0</v>
      </c>
      <c r="S15" s="71">
        <f t="shared" si="32"/>
        <v>0</v>
      </c>
      <c r="T15" s="68">
        <f t="shared" si="6"/>
        <v>0</v>
      </c>
      <c r="U15" s="71">
        <f t="shared" ref="U15:V15" si="33">R15*0.55</f>
        <v>0</v>
      </c>
      <c r="V15" s="71">
        <f t="shared" si="33"/>
        <v>0</v>
      </c>
      <c r="W15" s="68">
        <f t="shared" si="8"/>
        <v>0</v>
      </c>
      <c r="X15" s="71">
        <f t="shared" ref="X15:Y15" si="34">U15/0.95</f>
        <v>0</v>
      </c>
      <c r="Y15" s="71">
        <f t="shared" si="34"/>
        <v>0</v>
      </c>
      <c r="Z15" s="68">
        <f t="shared" si="10"/>
        <v>0</v>
      </c>
      <c r="AA15" s="71">
        <v>0.0</v>
      </c>
      <c r="AB15" s="71">
        <v>0.0</v>
      </c>
      <c r="AC15" s="68">
        <f t="shared" si="11"/>
        <v>0</v>
      </c>
      <c r="AD15" s="71">
        <f t="shared" ref="AD15:AE15" si="35">AA15*0.95</f>
        <v>0</v>
      </c>
      <c r="AE15" s="71">
        <f t="shared" si="35"/>
        <v>0</v>
      </c>
      <c r="AF15" s="68">
        <f t="shared" si="13"/>
        <v>0</v>
      </c>
      <c r="AG15" s="71">
        <v>0.0</v>
      </c>
      <c r="AH15" s="71">
        <v>0.0</v>
      </c>
      <c r="AI15" s="68">
        <f t="shared" si="14"/>
        <v>0</v>
      </c>
      <c r="AJ15" s="71">
        <f t="shared" ref="AJ15:AK15" si="36">AG15/1.05506</f>
        <v>0</v>
      </c>
      <c r="AK15" s="71">
        <f t="shared" si="36"/>
        <v>0</v>
      </c>
      <c r="AL15" s="68">
        <f t="shared" si="16"/>
        <v>0</v>
      </c>
    </row>
    <row r="16" ht="14.25" customHeight="1">
      <c r="B16" s="69">
        <v>45693.0</v>
      </c>
      <c r="C16" s="70"/>
      <c r="D16" s="70"/>
      <c r="E16" s="68">
        <f t="shared" si="1"/>
        <v>0</v>
      </c>
      <c r="F16" s="71">
        <v>251.0</v>
      </c>
      <c r="G16" s="71">
        <v>0.0</v>
      </c>
      <c r="H16" s="68">
        <f t="shared" si="17"/>
        <v>251</v>
      </c>
      <c r="I16" s="73">
        <f t="shared" ref="I16:J16" si="37">F16*55000*0.35/1000/0.55</f>
        <v>8785</v>
      </c>
      <c r="J16" s="73">
        <f t="shared" si="37"/>
        <v>0</v>
      </c>
      <c r="K16" s="68">
        <f t="shared" si="19"/>
        <v>8785</v>
      </c>
      <c r="L16" s="71">
        <v>0.0</v>
      </c>
      <c r="M16" s="71">
        <v>0.0</v>
      </c>
      <c r="N16" s="68">
        <f t="shared" si="3"/>
        <v>0</v>
      </c>
      <c r="O16" s="71">
        <v>0.0</v>
      </c>
      <c r="P16" s="71">
        <v>0.0</v>
      </c>
      <c r="Q16" s="68">
        <f t="shared" si="4"/>
        <v>0</v>
      </c>
      <c r="R16" s="71">
        <f t="shared" ref="R16:S16" si="38">L16-O16</f>
        <v>0</v>
      </c>
      <c r="S16" s="71">
        <f t="shared" si="38"/>
        <v>0</v>
      </c>
      <c r="T16" s="68">
        <f t="shared" si="6"/>
        <v>0</v>
      </c>
      <c r="U16" s="71">
        <f t="shared" ref="U16:V16" si="39">R16*0.55</f>
        <v>0</v>
      </c>
      <c r="V16" s="71">
        <f t="shared" si="39"/>
        <v>0</v>
      </c>
      <c r="W16" s="68">
        <f t="shared" si="8"/>
        <v>0</v>
      </c>
      <c r="X16" s="71">
        <f t="shared" ref="X16:Y16" si="40">U16/0.95</f>
        <v>0</v>
      </c>
      <c r="Y16" s="71">
        <f t="shared" si="40"/>
        <v>0</v>
      </c>
      <c r="Z16" s="68">
        <f t="shared" si="10"/>
        <v>0</v>
      </c>
      <c r="AA16" s="71">
        <v>0.0</v>
      </c>
      <c r="AB16" s="71">
        <v>0.0</v>
      </c>
      <c r="AC16" s="68">
        <f t="shared" si="11"/>
        <v>0</v>
      </c>
      <c r="AD16" s="71">
        <f t="shared" ref="AD16:AE16" si="41">AA16*0.95</f>
        <v>0</v>
      </c>
      <c r="AE16" s="71">
        <f t="shared" si="41"/>
        <v>0</v>
      </c>
      <c r="AF16" s="68">
        <f t="shared" si="13"/>
        <v>0</v>
      </c>
      <c r="AG16" s="71">
        <v>0.0</v>
      </c>
      <c r="AH16" s="71">
        <v>0.0</v>
      </c>
      <c r="AI16" s="68">
        <f t="shared" si="14"/>
        <v>0</v>
      </c>
      <c r="AJ16" s="71">
        <f t="shared" ref="AJ16:AK16" si="42">AG16/1.05506</f>
        <v>0</v>
      </c>
      <c r="AK16" s="71">
        <f t="shared" si="42"/>
        <v>0</v>
      </c>
      <c r="AL16" s="68">
        <f t="shared" si="16"/>
        <v>0</v>
      </c>
    </row>
    <row r="17" ht="14.25" customHeight="1">
      <c r="B17" s="69">
        <v>45694.0</v>
      </c>
      <c r="C17" s="70"/>
      <c r="D17" s="70"/>
      <c r="E17" s="68">
        <f t="shared" si="1"/>
        <v>0</v>
      </c>
      <c r="F17" s="71">
        <v>0.0</v>
      </c>
      <c r="G17" s="71">
        <v>0.0</v>
      </c>
      <c r="H17" s="68">
        <f t="shared" si="17"/>
        <v>0</v>
      </c>
      <c r="I17" s="73">
        <f t="shared" ref="I17:J17" si="43">F17*55000*0.35/1000/0.55</f>
        <v>0</v>
      </c>
      <c r="J17" s="73">
        <f t="shared" si="43"/>
        <v>0</v>
      </c>
      <c r="K17" s="68">
        <f t="shared" si="19"/>
        <v>0</v>
      </c>
      <c r="L17" s="71">
        <v>0.0</v>
      </c>
      <c r="M17" s="71">
        <v>0.0</v>
      </c>
      <c r="N17" s="68">
        <f t="shared" si="3"/>
        <v>0</v>
      </c>
      <c r="O17" s="71">
        <v>0.0</v>
      </c>
      <c r="P17" s="71">
        <v>0.0</v>
      </c>
      <c r="Q17" s="68">
        <f t="shared" si="4"/>
        <v>0</v>
      </c>
      <c r="R17" s="71">
        <f t="shared" ref="R17:S17" si="44">L17-O17</f>
        <v>0</v>
      </c>
      <c r="S17" s="71">
        <f t="shared" si="44"/>
        <v>0</v>
      </c>
      <c r="T17" s="68">
        <f t="shared" si="6"/>
        <v>0</v>
      </c>
      <c r="U17" s="71">
        <f t="shared" ref="U17:V17" si="45">R17*0.55</f>
        <v>0</v>
      </c>
      <c r="V17" s="71">
        <f t="shared" si="45"/>
        <v>0</v>
      </c>
      <c r="W17" s="68">
        <f t="shared" si="8"/>
        <v>0</v>
      </c>
      <c r="X17" s="71">
        <f t="shared" ref="X17:Y17" si="46">U17/0.95</f>
        <v>0</v>
      </c>
      <c r="Y17" s="71">
        <f t="shared" si="46"/>
        <v>0</v>
      </c>
      <c r="Z17" s="68">
        <f t="shared" si="10"/>
        <v>0</v>
      </c>
      <c r="AA17" s="71">
        <v>0.0</v>
      </c>
      <c r="AB17" s="71">
        <v>0.0</v>
      </c>
      <c r="AC17" s="68">
        <f t="shared" si="11"/>
        <v>0</v>
      </c>
      <c r="AD17" s="71">
        <f t="shared" ref="AD17:AE17" si="47">AA17*0.95</f>
        <v>0</v>
      </c>
      <c r="AE17" s="71">
        <f t="shared" si="47"/>
        <v>0</v>
      </c>
      <c r="AF17" s="68">
        <f t="shared" si="13"/>
        <v>0</v>
      </c>
      <c r="AG17" s="71">
        <v>0.0</v>
      </c>
      <c r="AH17" s="71">
        <v>0.0</v>
      </c>
      <c r="AI17" s="68">
        <f t="shared" si="14"/>
        <v>0</v>
      </c>
      <c r="AJ17" s="71">
        <f t="shared" ref="AJ17:AK17" si="48">AG17/1.05506</f>
        <v>0</v>
      </c>
      <c r="AK17" s="71">
        <f t="shared" si="48"/>
        <v>0</v>
      </c>
      <c r="AL17" s="68">
        <f t="shared" si="16"/>
        <v>0</v>
      </c>
    </row>
    <row r="18" ht="14.25" customHeight="1">
      <c r="B18" s="69">
        <v>45695.0</v>
      </c>
      <c r="C18" s="70"/>
      <c r="D18" s="70"/>
      <c r="E18" s="68">
        <f t="shared" si="1"/>
        <v>0</v>
      </c>
      <c r="F18" s="71">
        <v>905.0</v>
      </c>
      <c r="G18" s="71">
        <v>0.0</v>
      </c>
      <c r="H18" s="68">
        <f t="shared" si="17"/>
        <v>905</v>
      </c>
      <c r="I18" s="73">
        <f t="shared" ref="I18:J18" si="49">F18*55000*0.35/1000/0.55</f>
        <v>31675</v>
      </c>
      <c r="J18" s="73">
        <f t="shared" si="49"/>
        <v>0</v>
      </c>
      <c r="K18" s="68">
        <f t="shared" si="19"/>
        <v>31675</v>
      </c>
      <c r="L18" s="71">
        <v>0.0</v>
      </c>
      <c r="M18" s="71">
        <v>0.0</v>
      </c>
      <c r="N18" s="68">
        <f t="shared" si="3"/>
        <v>0</v>
      </c>
      <c r="O18" s="71">
        <v>0.0</v>
      </c>
      <c r="P18" s="71">
        <v>0.0</v>
      </c>
      <c r="Q18" s="68">
        <f t="shared" si="4"/>
        <v>0</v>
      </c>
      <c r="R18" s="71">
        <f t="shared" ref="R18:S18" si="50">L18-O18</f>
        <v>0</v>
      </c>
      <c r="S18" s="71">
        <f t="shared" si="50"/>
        <v>0</v>
      </c>
      <c r="T18" s="68">
        <f t="shared" si="6"/>
        <v>0</v>
      </c>
      <c r="U18" s="71">
        <f t="shared" ref="U18:V18" si="51">R18*0.55</f>
        <v>0</v>
      </c>
      <c r="V18" s="71">
        <f t="shared" si="51"/>
        <v>0</v>
      </c>
      <c r="W18" s="68">
        <f t="shared" si="8"/>
        <v>0</v>
      </c>
      <c r="X18" s="71">
        <f t="shared" ref="X18:Y18" si="52">U18/0.95</f>
        <v>0</v>
      </c>
      <c r="Y18" s="71">
        <f t="shared" si="52"/>
        <v>0</v>
      </c>
      <c r="Z18" s="68">
        <f t="shared" si="10"/>
        <v>0</v>
      </c>
      <c r="AA18" s="71">
        <v>1.5289</v>
      </c>
      <c r="AB18" s="71">
        <v>0.0</v>
      </c>
      <c r="AC18" s="68">
        <f t="shared" si="11"/>
        <v>1.5289</v>
      </c>
      <c r="AD18" s="71">
        <f t="shared" ref="AD18:AE18" si="53">AA18*0.95</f>
        <v>1.452455</v>
      </c>
      <c r="AE18" s="71">
        <f t="shared" si="53"/>
        <v>0</v>
      </c>
      <c r="AF18" s="68">
        <f t="shared" si="13"/>
        <v>1.452455</v>
      </c>
      <c r="AG18" s="71">
        <v>0.0</v>
      </c>
      <c r="AH18" s="71">
        <v>0.0</v>
      </c>
      <c r="AI18" s="68">
        <f t="shared" si="14"/>
        <v>0</v>
      </c>
      <c r="AJ18" s="71">
        <f t="shared" ref="AJ18:AK18" si="54">AG18/1.05506</f>
        <v>0</v>
      </c>
      <c r="AK18" s="71">
        <f t="shared" si="54"/>
        <v>0</v>
      </c>
      <c r="AL18" s="68">
        <f t="shared" si="16"/>
        <v>0</v>
      </c>
    </row>
    <row r="19" ht="14.25" customHeight="1">
      <c r="B19" s="69">
        <v>45696.0</v>
      </c>
      <c r="C19" s="70"/>
      <c r="D19" s="70"/>
      <c r="E19" s="68">
        <f t="shared" si="1"/>
        <v>0</v>
      </c>
      <c r="F19" s="71">
        <v>663.0</v>
      </c>
      <c r="G19" s="71">
        <v>0.0</v>
      </c>
      <c r="H19" s="68">
        <f t="shared" si="17"/>
        <v>663</v>
      </c>
      <c r="I19" s="73">
        <f t="shared" ref="I19:J19" si="55">F19*55000*0.35/1000/0.55</f>
        <v>23205</v>
      </c>
      <c r="J19" s="73">
        <f t="shared" si="55"/>
        <v>0</v>
      </c>
      <c r="K19" s="68">
        <f t="shared" si="19"/>
        <v>23205</v>
      </c>
      <c r="L19" s="71">
        <v>0.0</v>
      </c>
      <c r="M19" s="71">
        <v>0.0</v>
      </c>
      <c r="N19" s="68">
        <f t="shared" si="3"/>
        <v>0</v>
      </c>
      <c r="O19" s="71">
        <v>0.0</v>
      </c>
      <c r="P19" s="71">
        <v>0.0</v>
      </c>
      <c r="Q19" s="68">
        <f t="shared" si="4"/>
        <v>0</v>
      </c>
      <c r="R19" s="71">
        <f t="shared" ref="R19:S19" si="56">L19-O19</f>
        <v>0</v>
      </c>
      <c r="S19" s="71">
        <f t="shared" si="56"/>
        <v>0</v>
      </c>
      <c r="T19" s="68">
        <f t="shared" si="6"/>
        <v>0</v>
      </c>
      <c r="U19" s="71">
        <f t="shared" ref="U19:V19" si="57">R19*0.55</f>
        <v>0</v>
      </c>
      <c r="V19" s="71">
        <f t="shared" si="57"/>
        <v>0</v>
      </c>
      <c r="W19" s="68">
        <f t="shared" si="8"/>
        <v>0</v>
      </c>
      <c r="X19" s="71">
        <f t="shared" ref="X19:Y19" si="58">U19/0.95</f>
        <v>0</v>
      </c>
      <c r="Y19" s="71">
        <f t="shared" si="58"/>
        <v>0</v>
      </c>
      <c r="Z19" s="68">
        <f t="shared" si="10"/>
        <v>0</v>
      </c>
      <c r="AA19" s="71">
        <v>0.0</v>
      </c>
      <c r="AB19" s="71">
        <v>0.0</v>
      </c>
      <c r="AC19" s="68">
        <f t="shared" si="11"/>
        <v>0</v>
      </c>
      <c r="AD19" s="71">
        <f t="shared" ref="AD19:AE19" si="59">AA19*0.95</f>
        <v>0</v>
      </c>
      <c r="AE19" s="71">
        <f t="shared" si="59"/>
        <v>0</v>
      </c>
      <c r="AF19" s="68">
        <f t="shared" si="13"/>
        <v>0</v>
      </c>
      <c r="AG19" s="71">
        <v>0.0</v>
      </c>
      <c r="AH19" s="71">
        <v>0.0</v>
      </c>
      <c r="AI19" s="68">
        <f t="shared" si="14"/>
        <v>0</v>
      </c>
      <c r="AJ19" s="71">
        <f t="shared" ref="AJ19:AK19" si="60">AG19/1.05506</f>
        <v>0</v>
      </c>
      <c r="AK19" s="71">
        <f t="shared" si="60"/>
        <v>0</v>
      </c>
      <c r="AL19" s="68">
        <f t="shared" si="16"/>
        <v>0</v>
      </c>
    </row>
    <row r="20" ht="14.25" customHeight="1">
      <c r="B20" s="69">
        <v>45697.0</v>
      </c>
      <c r="C20" s="70"/>
      <c r="D20" s="70"/>
      <c r="E20" s="68">
        <f t="shared" si="1"/>
        <v>0</v>
      </c>
      <c r="F20" s="71">
        <v>602.0</v>
      </c>
      <c r="G20" s="71">
        <v>0.0</v>
      </c>
      <c r="H20" s="68">
        <f t="shared" si="17"/>
        <v>602</v>
      </c>
      <c r="I20" s="73">
        <f t="shared" ref="I20:J20" si="61">F20*55000*0.35/1000/0.55</f>
        <v>21070</v>
      </c>
      <c r="J20" s="73">
        <f t="shared" si="61"/>
        <v>0</v>
      </c>
      <c r="K20" s="68">
        <f t="shared" si="19"/>
        <v>21070</v>
      </c>
      <c r="L20" s="71">
        <v>0.0</v>
      </c>
      <c r="M20" s="71">
        <v>0.0</v>
      </c>
      <c r="N20" s="68">
        <f t="shared" si="3"/>
        <v>0</v>
      </c>
      <c r="O20" s="71">
        <v>0.0</v>
      </c>
      <c r="P20" s="71">
        <v>0.0</v>
      </c>
      <c r="Q20" s="68">
        <f t="shared" si="4"/>
        <v>0</v>
      </c>
      <c r="R20" s="71">
        <f t="shared" ref="R20:S20" si="62">L20-O20</f>
        <v>0</v>
      </c>
      <c r="S20" s="71">
        <f t="shared" si="62"/>
        <v>0</v>
      </c>
      <c r="T20" s="68">
        <f t="shared" si="6"/>
        <v>0</v>
      </c>
      <c r="U20" s="71">
        <f t="shared" ref="U20:V20" si="63">R20*0.55</f>
        <v>0</v>
      </c>
      <c r="V20" s="71">
        <f t="shared" si="63"/>
        <v>0</v>
      </c>
      <c r="W20" s="68">
        <f t="shared" si="8"/>
        <v>0</v>
      </c>
      <c r="X20" s="71">
        <f t="shared" ref="X20:Y20" si="64">U20/0.95</f>
        <v>0</v>
      </c>
      <c r="Y20" s="71">
        <f t="shared" si="64"/>
        <v>0</v>
      </c>
      <c r="Z20" s="68">
        <f t="shared" si="10"/>
        <v>0</v>
      </c>
      <c r="AA20" s="71">
        <v>0.0</v>
      </c>
      <c r="AB20" s="71">
        <v>0.0</v>
      </c>
      <c r="AC20" s="68">
        <f t="shared" si="11"/>
        <v>0</v>
      </c>
      <c r="AD20" s="71">
        <f t="shared" ref="AD20:AE20" si="65">AA20*0.95</f>
        <v>0</v>
      </c>
      <c r="AE20" s="71">
        <f t="shared" si="65"/>
        <v>0</v>
      </c>
      <c r="AF20" s="68">
        <f t="shared" si="13"/>
        <v>0</v>
      </c>
      <c r="AG20" s="71">
        <v>0.0</v>
      </c>
      <c r="AH20" s="71">
        <v>0.0</v>
      </c>
      <c r="AI20" s="68">
        <f t="shared" si="14"/>
        <v>0</v>
      </c>
      <c r="AJ20" s="71">
        <f t="shared" ref="AJ20:AK20" si="66">AG20/1.05506</f>
        <v>0</v>
      </c>
      <c r="AK20" s="71">
        <f t="shared" si="66"/>
        <v>0</v>
      </c>
      <c r="AL20" s="68">
        <f t="shared" si="16"/>
        <v>0</v>
      </c>
    </row>
    <row r="21" ht="14.25" customHeight="1">
      <c r="B21" s="69">
        <v>45698.0</v>
      </c>
      <c r="C21" s="70"/>
      <c r="D21" s="70"/>
      <c r="E21" s="68">
        <f t="shared" si="1"/>
        <v>0</v>
      </c>
      <c r="F21" s="71">
        <v>846.0</v>
      </c>
      <c r="G21" s="71">
        <v>0.0</v>
      </c>
      <c r="H21" s="68">
        <f t="shared" si="17"/>
        <v>846</v>
      </c>
      <c r="I21" s="73">
        <f t="shared" ref="I21:J21" si="67">F21*55000*0.35/1000/0.55</f>
        <v>29610</v>
      </c>
      <c r="J21" s="73">
        <f t="shared" si="67"/>
        <v>0</v>
      </c>
      <c r="K21" s="68">
        <f t="shared" si="19"/>
        <v>29610</v>
      </c>
      <c r="L21" s="71">
        <v>0.0</v>
      </c>
      <c r="M21" s="71">
        <v>0.0</v>
      </c>
      <c r="N21" s="68">
        <f t="shared" si="3"/>
        <v>0</v>
      </c>
      <c r="O21" s="71">
        <v>0.0</v>
      </c>
      <c r="P21" s="71">
        <v>0.0</v>
      </c>
      <c r="Q21" s="68">
        <f t="shared" si="4"/>
        <v>0</v>
      </c>
      <c r="R21" s="71">
        <f t="shared" ref="R21:S21" si="68">L21-O21</f>
        <v>0</v>
      </c>
      <c r="S21" s="71">
        <f t="shared" si="68"/>
        <v>0</v>
      </c>
      <c r="T21" s="68">
        <f t="shared" si="6"/>
        <v>0</v>
      </c>
      <c r="U21" s="71">
        <f t="shared" ref="U21:V21" si="69">R21*0.55</f>
        <v>0</v>
      </c>
      <c r="V21" s="71">
        <f t="shared" si="69"/>
        <v>0</v>
      </c>
      <c r="W21" s="68">
        <f t="shared" si="8"/>
        <v>0</v>
      </c>
      <c r="X21" s="71">
        <f t="shared" ref="X21:Y21" si="70">U21/0.95</f>
        <v>0</v>
      </c>
      <c r="Y21" s="71">
        <f t="shared" si="70"/>
        <v>0</v>
      </c>
      <c r="Z21" s="68">
        <f t="shared" si="10"/>
        <v>0</v>
      </c>
      <c r="AA21" s="71">
        <v>0.0</v>
      </c>
      <c r="AB21" s="71">
        <v>0.0</v>
      </c>
      <c r="AC21" s="68">
        <f t="shared" si="11"/>
        <v>0</v>
      </c>
      <c r="AD21" s="71">
        <f t="shared" ref="AD21:AE21" si="71">AA21*0.95</f>
        <v>0</v>
      </c>
      <c r="AE21" s="71">
        <f t="shared" si="71"/>
        <v>0</v>
      </c>
      <c r="AF21" s="68">
        <f t="shared" si="13"/>
        <v>0</v>
      </c>
      <c r="AG21" s="71">
        <v>0.0</v>
      </c>
      <c r="AH21" s="71">
        <v>0.0</v>
      </c>
      <c r="AI21" s="68">
        <f t="shared" si="14"/>
        <v>0</v>
      </c>
      <c r="AJ21" s="71">
        <f t="shared" ref="AJ21:AK21" si="72">AG21/1.05506</f>
        <v>0</v>
      </c>
      <c r="AK21" s="71">
        <f t="shared" si="72"/>
        <v>0</v>
      </c>
      <c r="AL21" s="68">
        <f t="shared" si="16"/>
        <v>0</v>
      </c>
    </row>
    <row r="22" ht="14.25" customHeight="1">
      <c r="B22" s="69">
        <v>45699.0</v>
      </c>
      <c r="C22" s="70"/>
      <c r="D22" s="70"/>
      <c r="E22" s="68">
        <f t="shared" si="1"/>
        <v>0</v>
      </c>
      <c r="F22" s="71">
        <v>807.0</v>
      </c>
      <c r="G22" s="71">
        <v>0.0</v>
      </c>
      <c r="H22" s="68">
        <f t="shared" si="17"/>
        <v>807</v>
      </c>
      <c r="I22" s="73">
        <f t="shared" ref="I22:J22" si="73">F22*55000*0.35/1000/0.55</f>
        <v>28245</v>
      </c>
      <c r="J22" s="73">
        <f t="shared" si="73"/>
        <v>0</v>
      </c>
      <c r="K22" s="68">
        <f t="shared" si="19"/>
        <v>28245</v>
      </c>
      <c r="L22" s="71">
        <v>0.0</v>
      </c>
      <c r="M22" s="71">
        <v>0.0</v>
      </c>
      <c r="N22" s="68">
        <f t="shared" si="3"/>
        <v>0</v>
      </c>
      <c r="O22" s="71">
        <v>0.0</v>
      </c>
      <c r="P22" s="71">
        <v>0.0</v>
      </c>
      <c r="Q22" s="68">
        <f t="shared" si="4"/>
        <v>0</v>
      </c>
      <c r="R22" s="71">
        <f t="shared" ref="R22:S22" si="74">L22-O22</f>
        <v>0</v>
      </c>
      <c r="S22" s="71">
        <f t="shared" si="74"/>
        <v>0</v>
      </c>
      <c r="T22" s="68">
        <f t="shared" si="6"/>
        <v>0</v>
      </c>
      <c r="U22" s="71">
        <f t="shared" ref="U22:V22" si="75">R22*0.55</f>
        <v>0</v>
      </c>
      <c r="V22" s="71">
        <f t="shared" si="75"/>
        <v>0</v>
      </c>
      <c r="W22" s="68">
        <f t="shared" si="8"/>
        <v>0</v>
      </c>
      <c r="X22" s="71">
        <f t="shared" ref="X22:Y22" si="76">U22/0.95</f>
        <v>0</v>
      </c>
      <c r="Y22" s="71">
        <f t="shared" si="76"/>
        <v>0</v>
      </c>
      <c r="Z22" s="68">
        <f t="shared" si="10"/>
        <v>0</v>
      </c>
      <c r="AA22" s="71">
        <v>0.0</v>
      </c>
      <c r="AB22" s="71">
        <v>0.0</v>
      </c>
      <c r="AC22" s="68">
        <f t="shared" si="11"/>
        <v>0</v>
      </c>
      <c r="AD22" s="71">
        <f t="shared" ref="AD22:AE22" si="77">AA22*0.95</f>
        <v>0</v>
      </c>
      <c r="AE22" s="71">
        <f t="shared" si="77"/>
        <v>0</v>
      </c>
      <c r="AF22" s="68">
        <f t="shared" si="13"/>
        <v>0</v>
      </c>
      <c r="AG22" s="71">
        <v>0.0</v>
      </c>
      <c r="AH22" s="71">
        <v>0.0</v>
      </c>
      <c r="AI22" s="68">
        <f t="shared" si="14"/>
        <v>0</v>
      </c>
      <c r="AJ22" s="71">
        <f t="shared" ref="AJ22:AK22" si="78">AG22/1.05506</f>
        <v>0</v>
      </c>
      <c r="AK22" s="71">
        <f t="shared" si="78"/>
        <v>0</v>
      </c>
      <c r="AL22" s="68">
        <f t="shared" si="16"/>
        <v>0</v>
      </c>
    </row>
    <row r="23" ht="14.25" customHeight="1">
      <c r="B23" s="69">
        <v>45700.0</v>
      </c>
      <c r="C23" s="70"/>
      <c r="D23" s="70"/>
      <c r="E23" s="68">
        <f t="shared" si="1"/>
        <v>0</v>
      </c>
      <c r="F23" s="71">
        <v>642.0</v>
      </c>
      <c r="G23" s="71">
        <v>0.0</v>
      </c>
      <c r="H23" s="68">
        <f t="shared" si="17"/>
        <v>642</v>
      </c>
      <c r="I23" s="73">
        <f t="shared" ref="I23:J23" si="79">F23*55000*0.35/1000/0.55</f>
        <v>22470</v>
      </c>
      <c r="J23" s="73">
        <f t="shared" si="79"/>
        <v>0</v>
      </c>
      <c r="K23" s="68">
        <f t="shared" si="19"/>
        <v>22470</v>
      </c>
      <c r="L23" s="71">
        <v>0.0</v>
      </c>
      <c r="M23" s="71">
        <v>0.0</v>
      </c>
      <c r="N23" s="68">
        <f t="shared" si="3"/>
        <v>0</v>
      </c>
      <c r="O23" s="71">
        <v>0.0</v>
      </c>
      <c r="P23" s="71">
        <v>0.0</v>
      </c>
      <c r="Q23" s="68">
        <f t="shared" si="4"/>
        <v>0</v>
      </c>
      <c r="R23" s="71">
        <f t="shared" ref="R23:S23" si="80">L23-O23</f>
        <v>0</v>
      </c>
      <c r="S23" s="71">
        <f t="shared" si="80"/>
        <v>0</v>
      </c>
      <c r="T23" s="68">
        <f t="shared" si="6"/>
        <v>0</v>
      </c>
      <c r="U23" s="71">
        <f t="shared" ref="U23:V23" si="81">R23*0.55</f>
        <v>0</v>
      </c>
      <c r="V23" s="71">
        <f t="shared" si="81"/>
        <v>0</v>
      </c>
      <c r="W23" s="68">
        <f t="shared" si="8"/>
        <v>0</v>
      </c>
      <c r="X23" s="71">
        <f t="shared" ref="X23:Y23" si="82">U23/0.95</f>
        <v>0</v>
      </c>
      <c r="Y23" s="71">
        <f t="shared" si="82"/>
        <v>0</v>
      </c>
      <c r="Z23" s="68">
        <f t="shared" si="10"/>
        <v>0</v>
      </c>
      <c r="AA23" s="71">
        <v>0.0</v>
      </c>
      <c r="AB23" s="71">
        <v>0.0</v>
      </c>
      <c r="AC23" s="68">
        <f t="shared" si="11"/>
        <v>0</v>
      </c>
      <c r="AD23" s="71">
        <f t="shared" ref="AD23:AE23" si="83">AA23*0.95</f>
        <v>0</v>
      </c>
      <c r="AE23" s="71">
        <f t="shared" si="83"/>
        <v>0</v>
      </c>
      <c r="AF23" s="68">
        <f t="shared" si="13"/>
        <v>0</v>
      </c>
      <c r="AG23" s="71">
        <v>0.0</v>
      </c>
      <c r="AH23" s="71">
        <v>0.0</v>
      </c>
      <c r="AI23" s="68">
        <f t="shared" si="14"/>
        <v>0</v>
      </c>
      <c r="AJ23" s="71">
        <f t="shared" ref="AJ23:AK23" si="84">AG23/1.05506</f>
        <v>0</v>
      </c>
      <c r="AK23" s="71">
        <f t="shared" si="84"/>
        <v>0</v>
      </c>
      <c r="AL23" s="68">
        <f t="shared" si="16"/>
        <v>0</v>
      </c>
    </row>
    <row r="24" ht="14.25" customHeight="1">
      <c r="B24" s="69">
        <v>45701.0</v>
      </c>
      <c r="C24" s="70"/>
      <c r="D24" s="70"/>
      <c r="E24" s="68">
        <f t="shared" si="1"/>
        <v>0</v>
      </c>
      <c r="F24" s="71">
        <v>953.0</v>
      </c>
      <c r="G24" s="71">
        <v>0.0</v>
      </c>
      <c r="H24" s="68">
        <f t="shared" si="17"/>
        <v>953</v>
      </c>
      <c r="I24" s="73">
        <f t="shared" ref="I24:J24" si="85">F24*55000*0.35/1000/0.55</f>
        <v>33355</v>
      </c>
      <c r="J24" s="73">
        <f t="shared" si="85"/>
        <v>0</v>
      </c>
      <c r="K24" s="68">
        <f t="shared" si="19"/>
        <v>33355</v>
      </c>
      <c r="L24" s="71">
        <v>0.0</v>
      </c>
      <c r="M24" s="71">
        <v>0.0</v>
      </c>
      <c r="N24" s="68">
        <f t="shared" si="3"/>
        <v>0</v>
      </c>
      <c r="O24" s="71">
        <v>0.0</v>
      </c>
      <c r="P24" s="71">
        <v>0.0</v>
      </c>
      <c r="Q24" s="68">
        <f t="shared" si="4"/>
        <v>0</v>
      </c>
      <c r="R24" s="71">
        <f t="shared" ref="R24:S24" si="86">L24-O24</f>
        <v>0</v>
      </c>
      <c r="S24" s="71">
        <f t="shared" si="86"/>
        <v>0</v>
      </c>
      <c r="T24" s="68">
        <f t="shared" si="6"/>
        <v>0</v>
      </c>
      <c r="U24" s="71">
        <f t="shared" ref="U24:V24" si="87">R24*0.55</f>
        <v>0</v>
      </c>
      <c r="V24" s="71">
        <f t="shared" si="87"/>
        <v>0</v>
      </c>
      <c r="W24" s="68">
        <f t="shared" si="8"/>
        <v>0</v>
      </c>
      <c r="X24" s="71">
        <f t="shared" ref="X24:Y24" si="88">U24/0.95</f>
        <v>0</v>
      </c>
      <c r="Y24" s="71">
        <f t="shared" si="88"/>
        <v>0</v>
      </c>
      <c r="Z24" s="68">
        <f t="shared" si="10"/>
        <v>0</v>
      </c>
      <c r="AA24" s="71">
        <v>0.0</v>
      </c>
      <c r="AB24" s="71">
        <v>0.0</v>
      </c>
      <c r="AC24" s="68">
        <f t="shared" si="11"/>
        <v>0</v>
      </c>
      <c r="AD24" s="71">
        <f t="shared" ref="AD24:AE24" si="89">AA24*0.95</f>
        <v>0</v>
      </c>
      <c r="AE24" s="71">
        <f t="shared" si="89"/>
        <v>0</v>
      </c>
      <c r="AF24" s="68">
        <f t="shared" si="13"/>
        <v>0</v>
      </c>
      <c r="AG24" s="71">
        <v>0.0</v>
      </c>
      <c r="AH24" s="71">
        <v>0.0</v>
      </c>
      <c r="AI24" s="68">
        <f t="shared" si="14"/>
        <v>0</v>
      </c>
      <c r="AJ24" s="71">
        <f t="shared" ref="AJ24:AK24" si="90">AG24/1.05506</f>
        <v>0</v>
      </c>
      <c r="AK24" s="71">
        <f t="shared" si="90"/>
        <v>0</v>
      </c>
      <c r="AL24" s="68">
        <f t="shared" si="16"/>
        <v>0</v>
      </c>
    </row>
    <row r="25" ht="14.25" customHeight="1">
      <c r="B25" s="69">
        <v>45702.0</v>
      </c>
      <c r="C25" s="70"/>
      <c r="D25" s="70"/>
      <c r="E25" s="68">
        <f t="shared" si="1"/>
        <v>0</v>
      </c>
      <c r="F25" s="71">
        <v>673.0</v>
      </c>
      <c r="G25" s="71">
        <v>0.0</v>
      </c>
      <c r="H25" s="68">
        <f t="shared" si="17"/>
        <v>673</v>
      </c>
      <c r="I25" s="73">
        <f t="shared" ref="I25:J25" si="91">F25*55000*0.35/1000/0.55</f>
        <v>23555</v>
      </c>
      <c r="J25" s="73">
        <f t="shared" si="91"/>
        <v>0</v>
      </c>
      <c r="K25" s="68">
        <f t="shared" si="19"/>
        <v>23555</v>
      </c>
      <c r="L25" s="71">
        <v>0.0</v>
      </c>
      <c r="M25" s="71">
        <v>0.0</v>
      </c>
      <c r="N25" s="68">
        <f t="shared" si="3"/>
        <v>0</v>
      </c>
      <c r="O25" s="71">
        <v>0.0</v>
      </c>
      <c r="P25" s="71">
        <v>0.0</v>
      </c>
      <c r="Q25" s="68">
        <f t="shared" si="4"/>
        <v>0</v>
      </c>
      <c r="R25" s="71">
        <f t="shared" ref="R25:S25" si="92">L25-O25</f>
        <v>0</v>
      </c>
      <c r="S25" s="71">
        <f t="shared" si="92"/>
        <v>0</v>
      </c>
      <c r="T25" s="68">
        <f t="shared" si="6"/>
        <v>0</v>
      </c>
      <c r="U25" s="71">
        <f t="shared" ref="U25:V25" si="93">R25*0.55</f>
        <v>0</v>
      </c>
      <c r="V25" s="71">
        <f t="shared" si="93"/>
        <v>0</v>
      </c>
      <c r="W25" s="68">
        <f t="shared" si="8"/>
        <v>0</v>
      </c>
      <c r="X25" s="71">
        <f t="shared" ref="X25:Y25" si="94">U25/0.95</f>
        <v>0</v>
      </c>
      <c r="Y25" s="71">
        <f t="shared" si="94"/>
        <v>0</v>
      </c>
      <c r="Z25" s="68">
        <f t="shared" si="10"/>
        <v>0</v>
      </c>
      <c r="AA25" s="71">
        <v>0.0</v>
      </c>
      <c r="AB25" s="71">
        <v>0.0</v>
      </c>
      <c r="AC25" s="68">
        <f t="shared" si="11"/>
        <v>0</v>
      </c>
      <c r="AD25" s="71">
        <f t="shared" ref="AD25:AE25" si="95">AA25*0.95</f>
        <v>0</v>
      </c>
      <c r="AE25" s="71">
        <f t="shared" si="95"/>
        <v>0</v>
      </c>
      <c r="AF25" s="68">
        <f t="shared" si="13"/>
        <v>0</v>
      </c>
      <c r="AG25" s="71">
        <v>0.0</v>
      </c>
      <c r="AH25" s="71">
        <v>0.0</v>
      </c>
      <c r="AI25" s="68">
        <f t="shared" si="14"/>
        <v>0</v>
      </c>
      <c r="AJ25" s="71">
        <f t="shared" ref="AJ25:AK25" si="96">AG25/1.05506</f>
        <v>0</v>
      </c>
      <c r="AK25" s="71">
        <f t="shared" si="96"/>
        <v>0</v>
      </c>
      <c r="AL25" s="68">
        <f t="shared" si="16"/>
        <v>0</v>
      </c>
    </row>
    <row r="26" ht="14.25" customHeight="1">
      <c r="B26" s="69">
        <v>45703.0</v>
      </c>
      <c r="C26" s="70"/>
      <c r="D26" s="70"/>
      <c r="E26" s="68">
        <f t="shared" si="1"/>
        <v>0</v>
      </c>
      <c r="F26" s="71">
        <v>778.0</v>
      </c>
      <c r="G26" s="71">
        <v>0.0</v>
      </c>
      <c r="H26" s="68">
        <f t="shared" si="17"/>
        <v>778</v>
      </c>
      <c r="I26" s="73">
        <f t="shared" ref="I26:J26" si="97">F26*55000*0.35/1000/0.55</f>
        <v>27230</v>
      </c>
      <c r="J26" s="73">
        <f t="shared" si="97"/>
        <v>0</v>
      </c>
      <c r="K26" s="68">
        <f t="shared" si="19"/>
        <v>27230</v>
      </c>
      <c r="L26" s="71">
        <v>0.0</v>
      </c>
      <c r="M26" s="71">
        <v>0.0</v>
      </c>
      <c r="N26" s="68">
        <f t="shared" si="3"/>
        <v>0</v>
      </c>
      <c r="O26" s="71">
        <v>0.0</v>
      </c>
      <c r="P26" s="71">
        <v>0.0</v>
      </c>
      <c r="Q26" s="68">
        <f t="shared" si="4"/>
        <v>0</v>
      </c>
      <c r="R26" s="71">
        <f t="shared" ref="R26:S26" si="98">L26-O26</f>
        <v>0</v>
      </c>
      <c r="S26" s="71">
        <f t="shared" si="98"/>
        <v>0</v>
      </c>
      <c r="T26" s="68">
        <f t="shared" si="6"/>
        <v>0</v>
      </c>
      <c r="U26" s="71">
        <f t="shared" ref="U26:V26" si="99">R26*0.55</f>
        <v>0</v>
      </c>
      <c r="V26" s="71">
        <f t="shared" si="99"/>
        <v>0</v>
      </c>
      <c r="W26" s="68">
        <f t="shared" si="8"/>
        <v>0</v>
      </c>
      <c r="X26" s="71">
        <f t="shared" ref="X26:Y26" si="100">U26/0.95</f>
        <v>0</v>
      </c>
      <c r="Y26" s="71">
        <f t="shared" si="100"/>
        <v>0</v>
      </c>
      <c r="Z26" s="68">
        <f t="shared" si="10"/>
        <v>0</v>
      </c>
      <c r="AA26" s="71">
        <v>0.0</v>
      </c>
      <c r="AB26" s="71">
        <v>0.0</v>
      </c>
      <c r="AC26" s="68">
        <f t="shared" si="11"/>
        <v>0</v>
      </c>
      <c r="AD26" s="71">
        <f t="shared" ref="AD26:AE26" si="101">AA26*0.95</f>
        <v>0</v>
      </c>
      <c r="AE26" s="71">
        <f t="shared" si="101"/>
        <v>0</v>
      </c>
      <c r="AF26" s="68">
        <f t="shared" si="13"/>
        <v>0</v>
      </c>
      <c r="AG26" s="71">
        <v>0.0</v>
      </c>
      <c r="AH26" s="71">
        <v>0.0</v>
      </c>
      <c r="AI26" s="68">
        <f t="shared" si="14"/>
        <v>0</v>
      </c>
      <c r="AJ26" s="71">
        <f t="shared" ref="AJ26:AK26" si="102">AG26/1.05506</f>
        <v>0</v>
      </c>
      <c r="AK26" s="71">
        <f t="shared" si="102"/>
        <v>0</v>
      </c>
      <c r="AL26" s="68">
        <f t="shared" si="16"/>
        <v>0</v>
      </c>
    </row>
    <row r="27" ht="14.25" customHeight="1">
      <c r="B27" s="69">
        <v>45704.0</v>
      </c>
      <c r="C27" s="70"/>
      <c r="D27" s="70"/>
      <c r="E27" s="68">
        <f t="shared" si="1"/>
        <v>0</v>
      </c>
      <c r="F27" s="71">
        <v>191.0</v>
      </c>
      <c r="G27" s="71">
        <v>0.0</v>
      </c>
      <c r="H27" s="68">
        <f t="shared" si="17"/>
        <v>191</v>
      </c>
      <c r="I27" s="73">
        <f t="shared" ref="I27:J27" si="103">F27*55000*0.35/1000/0.55</f>
        <v>6685</v>
      </c>
      <c r="J27" s="73">
        <f t="shared" si="103"/>
        <v>0</v>
      </c>
      <c r="K27" s="68">
        <f t="shared" si="19"/>
        <v>6685</v>
      </c>
      <c r="L27" s="71">
        <v>0.0</v>
      </c>
      <c r="M27" s="71">
        <v>0.0</v>
      </c>
      <c r="N27" s="68">
        <f t="shared" si="3"/>
        <v>0</v>
      </c>
      <c r="O27" s="71">
        <v>0.0</v>
      </c>
      <c r="P27" s="71">
        <v>0.0</v>
      </c>
      <c r="Q27" s="68">
        <f t="shared" si="4"/>
        <v>0</v>
      </c>
      <c r="R27" s="71">
        <f t="shared" ref="R27:S27" si="104">L27-O27</f>
        <v>0</v>
      </c>
      <c r="S27" s="71">
        <f t="shared" si="104"/>
        <v>0</v>
      </c>
      <c r="T27" s="68">
        <f t="shared" si="6"/>
        <v>0</v>
      </c>
      <c r="U27" s="71">
        <f t="shared" ref="U27:V27" si="105">R27*0.55</f>
        <v>0</v>
      </c>
      <c r="V27" s="71">
        <f t="shared" si="105"/>
        <v>0</v>
      </c>
      <c r="W27" s="68">
        <f t="shared" si="8"/>
        <v>0</v>
      </c>
      <c r="X27" s="71">
        <f t="shared" ref="X27:Y27" si="106">U27/0.95</f>
        <v>0</v>
      </c>
      <c r="Y27" s="71">
        <f t="shared" si="106"/>
        <v>0</v>
      </c>
      <c r="Z27" s="68">
        <f t="shared" si="10"/>
        <v>0</v>
      </c>
      <c r="AA27" s="71">
        <v>0.0</v>
      </c>
      <c r="AB27" s="71">
        <v>0.0</v>
      </c>
      <c r="AC27" s="68">
        <f t="shared" si="11"/>
        <v>0</v>
      </c>
      <c r="AD27" s="71">
        <f t="shared" ref="AD27:AE27" si="107">AA27*0.95</f>
        <v>0</v>
      </c>
      <c r="AE27" s="71">
        <f t="shared" si="107"/>
        <v>0</v>
      </c>
      <c r="AF27" s="68">
        <f t="shared" si="13"/>
        <v>0</v>
      </c>
      <c r="AG27" s="71">
        <v>0.0</v>
      </c>
      <c r="AH27" s="71">
        <v>0.0</v>
      </c>
      <c r="AI27" s="68">
        <f t="shared" si="14"/>
        <v>0</v>
      </c>
      <c r="AJ27" s="71">
        <f t="shared" ref="AJ27:AK27" si="108">AG27/1.05506</f>
        <v>0</v>
      </c>
      <c r="AK27" s="71">
        <f t="shared" si="108"/>
        <v>0</v>
      </c>
      <c r="AL27" s="68">
        <f t="shared" si="16"/>
        <v>0</v>
      </c>
    </row>
    <row r="28" ht="14.25" customHeight="1">
      <c r="B28" s="69">
        <v>45705.0</v>
      </c>
      <c r="C28" s="70"/>
      <c r="D28" s="70"/>
      <c r="E28" s="68">
        <f t="shared" si="1"/>
        <v>0</v>
      </c>
      <c r="F28" s="71">
        <v>71.0</v>
      </c>
      <c r="G28" s="71">
        <v>0.0</v>
      </c>
      <c r="H28" s="68">
        <f t="shared" si="17"/>
        <v>71</v>
      </c>
      <c r="I28" s="73">
        <f t="shared" ref="I28:J28" si="109">F28*55000*0.35/1000/0.55</f>
        <v>2485</v>
      </c>
      <c r="J28" s="73">
        <f t="shared" si="109"/>
        <v>0</v>
      </c>
      <c r="K28" s="68">
        <f t="shared" si="19"/>
        <v>2485</v>
      </c>
      <c r="L28" s="71">
        <v>0.0</v>
      </c>
      <c r="M28" s="71">
        <v>0.0</v>
      </c>
      <c r="N28" s="68">
        <f t="shared" si="3"/>
        <v>0</v>
      </c>
      <c r="O28" s="71">
        <v>0.0</v>
      </c>
      <c r="P28" s="71">
        <v>0.0</v>
      </c>
      <c r="Q28" s="68">
        <f t="shared" si="4"/>
        <v>0</v>
      </c>
      <c r="R28" s="71">
        <f t="shared" ref="R28:S28" si="110">L28-O28</f>
        <v>0</v>
      </c>
      <c r="S28" s="71">
        <f t="shared" si="110"/>
        <v>0</v>
      </c>
      <c r="T28" s="68">
        <f t="shared" si="6"/>
        <v>0</v>
      </c>
      <c r="U28" s="71">
        <f t="shared" ref="U28:V28" si="111">R28*0.55</f>
        <v>0</v>
      </c>
      <c r="V28" s="71">
        <f t="shared" si="111"/>
        <v>0</v>
      </c>
      <c r="W28" s="68">
        <f t="shared" si="8"/>
        <v>0</v>
      </c>
      <c r="X28" s="71">
        <f t="shared" ref="X28:Y28" si="112">U28/0.95</f>
        <v>0</v>
      </c>
      <c r="Y28" s="71">
        <f t="shared" si="112"/>
        <v>0</v>
      </c>
      <c r="Z28" s="68">
        <f t="shared" si="10"/>
        <v>0</v>
      </c>
      <c r="AA28" s="71">
        <v>0.0</v>
      </c>
      <c r="AB28" s="71">
        <v>0.0</v>
      </c>
      <c r="AC28" s="68">
        <f t="shared" si="11"/>
        <v>0</v>
      </c>
      <c r="AD28" s="71">
        <f t="shared" ref="AD28:AE28" si="113">AA28*0.95</f>
        <v>0</v>
      </c>
      <c r="AE28" s="71">
        <f t="shared" si="113"/>
        <v>0</v>
      </c>
      <c r="AF28" s="68">
        <f t="shared" si="13"/>
        <v>0</v>
      </c>
      <c r="AG28" s="71">
        <v>0.0</v>
      </c>
      <c r="AH28" s="71">
        <v>0.0</v>
      </c>
      <c r="AI28" s="68">
        <f t="shared" si="14"/>
        <v>0</v>
      </c>
      <c r="AJ28" s="71">
        <f t="shared" ref="AJ28:AK28" si="114">AG28/1.05506</f>
        <v>0</v>
      </c>
      <c r="AK28" s="71">
        <f t="shared" si="114"/>
        <v>0</v>
      </c>
      <c r="AL28" s="68">
        <f t="shared" si="16"/>
        <v>0</v>
      </c>
    </row>
    <row r="29" ht="14.25" customHeight="1">
      <c r="B29" s="69">
        <v>45706.0</v>
      </c>
      <c r="C29" s="70"/>
      <c r="D29" s="70"/>
      <c r="E29" s="68">
        <f t="shared" si="1"/>
        <v>0</v>
      </c>
      <c r="F29" s="71">
        <v>164.0</v>
      </c>
      <c r="G29" s="71">
        <v>0.0</v>
      </c>
      <c r="H29" s="68">
        <f t="shared" si="17"/>
        <v>164</v>
      </c>
      <c r="I29" s="73">
        <f t="shared" ref="I29:J29" si="115">F29*55000*0.35/1000/0.55</f>
        <v>5740</v>
      </c>
      <c r="J29" s="73">
        <f t="shared" si="115"/>
        <v>0</v>
      </c>
      <c r="K29" s="68">
        <f t="shared" si="19"/>
        <v>5740</v>
      </c>
      <c r="L29" s="71">
        <v>3399.0</v>
      </c>
      <c r="M29" s="71">
        <v>0.0</v>
      </c>
      <c r="N29" s="68">
        <f t="shared" si="3"/>
        <v>3399</v>
      </c>
      <c r="O29" s="71">
        <v>289.9280575539569</v>
      </c>
      <c r="P29" s="71">
        <v>0.0</v>
      </c>
      <c r="Q29" s="68">
        <f t="shared" si="4"/>
        <v>289.9280576</v>
      </c>
      <c r="R29" s="71">
        <f t="shared" ref="R29:S29" si="116">L29-O29</f>
        <v>3109.071942</v>
      </c>
      <c r="S29" s="71">
        <f t="shared" si="116"/>
        <v>0</v>
      </c>
      <c r="T29" s="68">
        <f t="shared" si="6"/>
        <v>3109.071942</v>
      </c>
      <c r="U29" s="71">
        <f t="shared" ref="U29:V29" si="117">R29*0.55</f>
        <v>1709.989568</v>
      </c>
      <c r="V29" s="71">
        <f t="shared" si="117"/>
        <v>0</v>
      </c>
      <c r="W29" s="68">
        <f t="shared" si="8"/>
        <v>1709.989568</v>
      </c>
      <c r="X29" s="71">
        <f t="shared" ref="X29:Y29" si="118">U29/0.95</f>
        <v>1799.989019</v>
      </c>
      <c r="Y29" s="71">
        <f t="shared" si="118"/>
        <v>0</v>
      </c>
      <c r="Z29" s="68">
        <f t="shared" si="10"/>
        <v>1799.989019</v>
      </c>
      <c r="AA29" s="71">
        <v>0.0</v>
      </c>
      <c r="AB29" s="71">
        <v>0.0</v>
      </c>
      <c r="AC29" s="68">
        <f t="shared" si="11"/>
        <v>0</v>
      </c>
      <c r="AD29" s="71">
        <f t="shared" ref="AD29:AE29" si="119">AA29*0.95</f>
        <v>0</v>
      </c>
      <c r="AE29" s="71">
        <f t="shared" si="119"/>
        <v>0</v>
      </c>
      <c r="AF29" s="68">
        <f t="shared" si="13"/>
        <v>0</v>
      </c>
      <c r="AG29" s="71">
        <v>0.0</v>
      </c>
      <c r="AH29" s="71">
        <v>0.0</v>
      </c>
      <c r="AI29" s="68">
        <f t="shared" si="14"/>
        <v>0</v>
      </c>
      <c r="AJ29" s="71">
        <f t="shared" ref="AJ29:AK29" si="120">AG29/1.05506</f>
        <v>0</v>
      </c>
      <c r="AK29" s="71">
        <f t="shared" si="120"/>
        <v>0</v>
      </c>
      <c r="AL29" s="68">
        <f t="shared" si="16"/>
        <v>0</v>
      </c>
    </row>
    <row r="30" ht="14.25" customHeight="1">
      <c r="B30" s="69">
        <v>45707.0</v>
      </c>
      <c r="C30" s="70"/>
      <c r="D30" s="70"/>
      <c r="E30" s="68">
        <f t="shared" si="1"/>
        <v>0</v>
      </c>
      <c r="F30" s="71">
        <v>1450.0</v>
      </c>
      <c r="G30" s="71">
        <v>0.0</v>
      </c>
      <c r="H30" s="68">
        <f t="shared" si="17"/>
        <v>1450</v>
      </c>
      <c r="I30" s="73">
        <f t="shared" ref="I30:J30" si="121">F30*55000*0.35/1000/0.55</f>
        <v>50750</v>
      </c>
      <c r="J30" s="73">
        <f t="shared" si="121"/>
        <v>0</v>
      </c>
      <c r="K30" s="68">
        <f t="shared" si="19"/>
        <v>50750</v>
      </c>
      <c r="L30" s="71">
        <v>20914.0</v>
      </c>
      <c r="M30" s="71">
        <v>0.0</v>
      </c>
      <c r="N30" s="68">
        <f t="shared" si="3"/>
        <v>20914</v>
      </c>
      <c r="O30" s="71">
        <v>2725.179856115108</v>
      </c>
      <c r="P30" s="71">
        <v>0.0</v>
      </c>
      <c r="Q30" s="68">
        <f t="shared" si="4"/>
        <v>2725.179856</v>
      </c>
      <c r="R30" s="71">
        <f t="shared" ref="R30:S30" si="122">L30-O30</f>
        <v>18188.82014</v>
      </c>
      <c r="S30" s="71">
        <f t="shared" si="122"/>
        <v>0</v>
      </c>
      <c r="T30" s="68">
        <f t="shared" si="6"/>
        <v>18188.82014</v>
      </c>
      <c r="U30" s="71">
        <f t="shared" ref="U30:V30" si="123">R30*0.55</f>
        <v>10003.85108</v>
      </c>
      <c r="V30" s="71">
        <f t="shared" si="123"/>
        <v>0</v>
      </c>
      <c r="W30" s="68">
        <f t="shared" si="8"/>
        <v>10003.85108</v>
      </c>
      <c r="X30" s="71">
        <f t="shared" ref="X30:Y30" si="124">U30/0.95</f>
        <v>10530.36956</v>
      </c>
      <c r="Y30" s="71">
        <f t="shared" si="124"/>
        <v>0</v>
      </c>
      <c r="Z30" s="68">
        <f t="shared" si="10"/>
        <v>10530.36956</v>
      </c>
      <c r="AA30" s="71">
        <v>2385.127</v>
      </c>
      <c r="AB30" s="71">
        <v>0.0</v>
      </c>
      <c r="AC30" s="68">
        <f t="shared" si="11"/>
        <v>2385.127</v>
      </c>
      <c r="AD30" s="71">
        <f t="shared" ref="AD30:AE30" si="125">AA30*0.95</f>
        <v>2265.87065</v>
      </c>
      <c r="AE30" s="71">
        <f t="shared" si="125"/>
        <v>0</v>
      </c>
      <c r="AF30" s="68">
        <f t="shared" si="13"/>
        <v>2265.87065</v>
      </c>
      <c r="AG30" s="71">
        <v>85.0</v>
      </c>
      <c r="AH30" s="71">
        <v>0.0</v>
      </c>
      <c r="AI30" s="68">
        <f t="shared" si="14"/>
        <v>85</v>
      </c>
      <c r="AJ30" s="71">
        <f t="shared" ref="AJ30:AK30" si="126">AG30/1.05506</f>
        <v>80.56413853</v>
      </c>
      <c r="AK30" s="71">
        <f t="shared" si="126"/>
        <v>0</v>
      </c>
      <c r="AL30" s="68">
        <f t="shared" si="16"/>
        <v>80.56413853</v>
      </c>
    </row>
    <row r="31" ht="14.25" customHeight="1">
      <c r="B31" s="69">
        <v>45708.0</v>
      </c>
      <c r="C31" s="70"/>
      <c r="D31" s="70"/>
      <c r="E31" s="68">
        <f t="shared" si="1"/>
        <v>0</v>
      </c>
      <c r="F31" s="71">
        <v>1015.0</v>
      </c>
      <c r="G31" s="71">
        <v>0.0</v>
      </c>
      <c r="H31" s="68">
        <f t="shared" si="17"/>
        <v>1015</v>
      </c>
      <c r="I31" s="73">
        <f t="shared" ref="I31:J31" si="127">F31*55000*0.35/1000/0.55</f>
        <v>35525</v>
      </c>
      <c r="J31" s="73">
        <f t="shared" si="127"/>
        <v>0</v>
      </c>
      <c r="K31" s="68">
        <f t="shared" si="19"/>
        <v>35525</v>
      </c>
      <c r="L31" s="71">
        <v>23447.0</v>
      </c>
      <c r="M31" s="71">
        <v>0.0</v>
      </c>
      <c r="N31" s="68">
        <f t="shared" si="3"/>
        <v>23447</v>
      </c>
      <c r="O31" s="71">
        <v>3465.467625899281</v>
      </c>
      <c r="P31" s="71">
        <v>0.0</v>
      </c>
      <c r="Q31" s="68">
        <f t="shared" si="4"/>
        <v>3465.467626</v>
      </c>
      <c r="R31" s="71">
        <f t="shared" ref="R31:S31" si="128">L31-O31</f>
        <v>19981.53237</v>
      </c>
      <c r="S31" s="71">
        <f t="shared" si="128"/>
        <v>0</v>
      </c>
      <c r="T31" s="68">
        <f t="shared" si="6"/>
        <v>19981.53237</v>
      </c>
      <c r="U31" s="71">
        <f t="shared" ref="U31:V31" si="129">R31*0.55</f>
        <v>10989.84281</v>
      </c>
      <c r="V31" s="71">
        <f t="shared" si="129"/>
        <v>0</v>
      </c>
      <c r="W31" s="68">
        <f t="shared" si="8"/>
        <v>10989.84281</v>
      </c>
      <c r="X31" s="71">
        <f t="shared" ref="X31:Y31" si="130">U31/0.95</f>
        <v>11568.25559</v>
      </c>
      <c r="Y31" s="71">
        <f t="shared" si="130"/>
        <v>0</v>
      </c>
      <c r="Z31" s="68">
        <f t="shared" si="10"/>
        <v>11568.25559</v>
      </c>
      <c r="AA31" s="71">
        <v>4756.8945</v>
      </c>
      <c r="AB31" s="71">
        <v>0.0</v>
      </c>
      <c r="AC31" s="68">
        <f t="shared" si="11"/>
        <v>4756.8945</v>
      </c>
      <c r="AD31" s="71">
        <f t="shared" ref="AD31:AE31" si="131">AA31*0.95</f>
        <v>4519.049775</v>
      </c>
      <c r="AE31" s="71">
        <f t="shared" si="131"/>
        <v>0</v>
      </c>
      <c r="AF31" s="68">
        <f t="shared" si="13"/>
        <v>4519.049775</v>
      </c>
      <c r="AG31" s="71">
        <v>170.0</v>
      </c>
      <c r="AH31" s="71">
        <v>0.0</v>
      </c>
      <c r="AI31" s="68">
        <f t="shared" si="14"/>
        <v>170</v>
      </c>
      <c r="AJ31" s="71">
        <f t="shared" ref="AJ31:AK31" si="132">AG31/1.05506</f>
        <v>161.1282771</v>
      </c>
      <c r="AK31" s="71">
        <f t="shared" si="132"/>
        <v>0</v>
      </c>
      <c r="AL31" s="68">
        <f t="shared" si="16"/>
        <v>161.1282771</v>
      </c>
    </row>
    <row r="32" ht="14.25" customHeight="1">
      <c r="B32" s="69">
        <v>45709.0</v>
      </c>
      <c r="C32" s="70"/>
      <c r="D32" s="70"/>
      <c r="E32" s="68">
        <f t="shared" si="1"/>
        <v>0</v>
      </c>
      <c r="F32" s="71">
        <v>618.0</v>
      </c>
      <c r="G32" s="71">
        <v>0.0</v>
      </c>
      <c r="H32" s="68">
        <f t="shared" si="17"/>
        <v>618</v>
      </c>
      <c r="I32" s="73">
        <f t="shared" ref="I32:J32" si="133">F32*55000*0.35/1000/0.55</f>
        <v>21630</v>
      </c>
      <c r="J32" s="73">
        <f t="shared" si="133"/>
        <v>0</v>
      </c>
      <c r="K32" s="68">
        <f t="shared" si="19"/>
        <v>21630</v>
      </c>
      <c r="L32" s="71">
        <v>25190.0</v>
      </c>
      <c r="M32" s="71">
        <v>0.0</v>
      </c>
      <c r="N32" s="68">
        <f t="shared" si="3"/>
        <v>25190</v>
      </c>
      <c r="O32" s="71">
        <v>3297.8417266187053</v>
      </c>
      <c r="P32" s="71">
        <v>0.0</v>
      </c>
      <c r="Q32" s="68">
        <f t="shared" si="4"/>
        <v>3297.841727</v>
      </c>
      <c r="R32" s="71">
        <f t="shared" ref="R32:S32" si="134">L32-O32</f>
        <v>21892.15827</v>
      </c>
      <c r="S32" s="71">
        <f t="shared" si="134"/>
        <v>0</v>
      </c>
      <c r="T32" s="68">
        <f t="shared" si="6"/>
        <v>21892.15827</v>
      </c>
      <c r="U32" s="71">
        <f t="shared" ref="U32:V32" si="135">R32*0.55</f>
        <v>12040.68705</v>
      </c>
      <c r="V32" s="71">
        <f t="shared" si="135"/>
        <v>0</v>
      </c>
      <c r="W32" s="68">
        <f t="shared" si="8"/>
        <v>12040.68705</v>
      </c>
      <c r="X32" s="71">
        <f t="shared" ref="X32:Y32" si="136">U32/0.95</f>
        <v>12674.40742</v>
      </c>
      <c r="Y32" s="71">
        <f t="shared" si="136"/>
        <v>0</v>
      </c>
      <c r="Z32" s="68">
        <f t="shared" si="10"/>
        <v>12674.40742</v>
      </c>
      <c r="AA32" s="71">
        <v>3375.6105</v>
      </c>
      <c r="AB32" s="71">
        <v>0.0</v>
      </c>
      <c r="AC32" s="68">
        <f t="shared" si="11"/>
        <v>3375.6105</v>
      </c>
      <c r="AD32" s="71">
        <f t="shared" ref="AD32:AE32" si="137">AA32*0.95</f>
        <v>3206.829975</v>
      </c>
      <c r="AE32" s="71">
        <f t="shared" si="137"/>
        <v>0</v>
      </c>
      <c r="AF32" s="68">
        <f t="shared" si="13"/>
        <v>3206.829975</v>
      </c>
      <c r="AG32" s="71">
        <v>120.0</v>
      </c>
      <c r="AH32" s="71">
        <v>0.0</v>
      </c>
      <c r="AI32" s="68">
        <f t="shared" si="14"/>
        <v>120</v>
      </c>
      <c r="AJ32" s="71">
        <f t="shared" ref="AJ32:AK32" si="138">AG32/1.05506</f>
        <v>113.7376073</v>
      </c>
      <c r="AK32" s="71">
        <f t="shared" si="138"/>
        <v>0</v>
      </c>
      <c r="AL32" s="68">
        <f t="shared" si="16"/>
        <v>113.7376073</v>
      </c>
    </row>
    <row r="33" ht="14.25" customHeight="1">
      <c r="B33" s="69">
        <v>45710.0</v>
      </c>
      <c r="C33" s="70"/>
      <c r="D33" s="70"/>
      <c r="E33" s="68">
        <f t="shared" si="1"/>
        <v>0</v>
      </c>
      <c r="F33" s="71">
        <v>855.0</v>
      </c>
      <c r="G33" s="71">
        <v>0.0</v>
      </c>
      <c r="H33" s="68">
        <f t="shared" si="17"/>
        <v>855</v>
      </c>
      <c r="I33" s="73">
        <f t="shared" ref="I33:J33" si="139">F33*55000*0.35/1000/0.55</f>
        <v>29925</v>
      </c>
      <c r="J33" s="73">
        <f t="shared" si="139"/>
        <v>0</v>
      </c>
      <c r="K33" s="68">
        <f t="shared" si="19"/>
        <v>29925</v>
      </c>
      <c r="L33" s="71">
        <v>23765.0</v>
      </c>
      <c r="M33" s="71">
        <v>0.0</v>
      </c>
      <c r="N33" s="68">
        <f t="shared" si="3"/>
        <v>23765</v>
      </c>
      <c r="O33" s="71">
        <v>3010.791366906475</v>
      </c>
      <c r="P33" s="71">
        <v>0.0</v>
      </c>
      <c r="Q33" s="68">
        <f t="shared" si="4"/>
        <v>3010.791367</v>
      </c>
      <c r="R33" s="71">
        <f t="shared" ref="R33:S33" si="140">L33-O33</f>
        <v>20754.20863</v>
      </c>
      <c r="S33" s="71">
        <f t="shared" si="140"/>
        <v>0</v>
      </c>
      <c r="T33" s="68">
        <f t="shared" si="6"/>
        <v>20754.20863</v>
      </c>
      <c r="U33" s="71">
        <f t="shared" ref="U33:V33" si="141">R33*0.55</f>
        <v>11414.81475</v>
      </c>
      <c r="V33" s="71">
        <f t="shared" si="141"/>
        <v>0</v>
      </c>
      <c r="W33" s="68">
        <f t="shared" si="8"/>
        <v>11414.81475</v>
      </c>
      <c r="X33" s="71">
        <f t="shared" ref="X33:Y33" si="142">U33/0.95</f>
        <v>12015.59447</v>
      </c>
      <c r="Y33" s="71">
        <f t="shared" si="142"/>
        <v>0</v>
      </c>
      <c r="Z33" s="68">
        <f t="shared" si="10"/>
        <v>12015.59447</v>
      </c>
      <c r="AA33" s="71">
        <v>2238.1898</v>
      </c>
      <c r="AB33" s="71">
        <v>0.0</v>
      </c>
      <c r="AC33" s="68">
        <f t="shared" si="11"/>
        <v>2238.1898</v>
      </c>
      <c r="AD33" s="71">
        <f t="shared" ref="AD33:AE33" si="143">AA33*0.95</f>
        <v>2126.28031</v>
      </c>
      <c r="AE33" s="71">
        <f t="shared" si="143"/>
        <v>0</v>
      </c>
      <c r="AF33" s="68">
        <f t="shared" si="13"/>
        <v>2126.28031</v>
      </c>
      <c r="AG33" s="71">
        <v>79.0</v>
      </c>
      <c r="AH33" s="71">
        <v>0.0</v>
      </c>
      <c r="AI33" s="68">
        <f t="shared" si="14"/>
        <v>79</v>
      </c>
      <c r="AJ33" s="71">
        <f t="shared" ref="AJ33:AK33" si="144">AG33/1.05506</f>
        <v>74.87725817</v>
      </c>
      <c r="AK33" s="71">
        <f t="shared" si="144"/>
        <v>0</v>
      </c>
      <c r="AL33" s="68">
        <f t="shared" si="16"/>
        <v>74.87725817</v>
      </c>
    </row>
    <row r="34" ht="14.25" customHeight="1">
      <c r="B34" s="69">
        <v>45711.0</v>
      </c>
      <c r="C34" s="70"/>
      <c r="D34" s="70"/>
      <c r="E34" s="68">
        <f t="shared" si="1"/>
        <v>0</v>
      </c>
      <c r="F34" s="71">
        <v>286.0</v>
      </c>
      <c r="G34" s="71">
        <v>0.0</v>
      </c>
      <c r="H34" s="68">
        <f t="shared" si="17"/>
        <v>286</v>
      </c>
      <c r="I34" s="73">
        <f t="shared" ref="I34:J34" si="145">F34*55000*0.35/1000/0.55</f>
        <v>10010</v>
      </c>
      <c r="J34" s="73">
        <f t="shared" si="145"/>
        <v>0</v>
      </c>
      <c r="K34" s="68">
        <f t="shared" si="19"/>
        <v>10010</v>
      </c>
      <c r="L34" s="71">
        <v>24595.0</v>
      </c>
      <c r="M34" s="71">
        <v>0.0</v>
      </c>
      <c r="N34" s="68">
        <f t="shared" si="3"/>
        <v>24595</v>
      </c>
      <c r="O34" s="71">
        <v>3158.273381294964</v>
      </c>
      <c r="P34" s="71">
        <v>0.0</v>
      </c>
      <c r="Q34" s="68">
        <f t="shared" si="4"/>
        <v>3158.273381</v>
      </c>
      <c r="R34" s="71">
        <f t="shared" ref="R34:S34" si="146">L34-O34</f>
        <v>21436.72662</v>
      </c>
      <c r="S34" s="71">
        <f t="shared" si="146"/>
        <v>0</v>
      </c>
      <c r="T34" s="68">
        <f t="shared" si="6"/>
        <v>21436.72662</v>
      </c>
      <c r="U34" s="71">
        <f t="shared" ref="U34:V34" si="147">R34*0.55</f>
        <v>11790.19964</v>
      </c>
      <c r="V34" s="71">
        <f t="shared" si="147"/>
        <v>0</v>
      </c>
      <c r="W34" s="68">
        <f t="shared" si="8"/>
        <v>11790.19964</v>
      </c>
      <c r="X34" s="71">
        <f t="shared" ref="X34:Y34" si="148">U34/0.95</f>
        <v>12410.73646</v>
      </c>
      <c r="Y34" s="71">
        <f t="shared" si="148"/>
        <v>0</v>
      </c>
      <c r="Z34" s="68">
        <f t="shared" si="10"/>
        <v>12410.73646</v>
      </c>
      <c r="AA34" s="71">
        <v>5426.717</v>
      </c>
      <c r="AB34" s="71">
        <v>0.0</v>
      </c>
      <c r="AC34" s="68">
        <f t="shared" si="11"/>
        <v>5426.717</v>
      </c>
      <c r="AD34" s="71">
        <f t="shared" ref="AD34:AE34" si="149">AA34*0.95</f>
        <v>5155.38115</v>
      </c>
      <c r="AE34" s="71">
        <f t="shared" si="149"/>
        <v>0</v>
      </c>
      <c r="AF34" s="68">
        <f t="shared" si="13"/>
        <v>5155.38115</v>
      </c>
      <c r="AG34" s="71">
        <v>192.0</v>
      </c>
      <c r="AH34" s="71">
        <v>0.0</v>
      </c>
      <c r="AI34" s="68">
        <f t="shared" si="14"/>
        <v>192</v>
      </c>
      <c r="AJ34" s="71">
        <f t="shared" ref="AJ34:AK34" si="150">AG34/1.05506</f>
        <v>181.9801717</v>
      </c>
      <c r="AK34" s="71">
        <f t="shared" si="150"/>
        <v>0</v>
      </c>
      <c r="AL34" s="68">
        <f t="shared" si="16"/>
        <v>181.9801717</v>
      </c>
    </row>
    <row r="35" ht="14.25" customHeight="1">
      <c r="B35" s="69">
        <v>45712.0</v>
      </c>
      <c r="C35" s="70"/>
      <c r="D35" s="70"/>
      <c r="E35" s="68">
        <f t="shared" si="1"/>
        <v>0</v>
      </c>
      <c r="F35" s="71">
        <v>987.0</v>
      </c>
      <c r="G35" s="71">
        <v>0.0</v>
      </c>
      <c r="H35" s="68">
        <f t="shared" si="17"/>
        <v>987</v>
      </c>
      <c r="I35" s="73">
        <f t="shared" ref="I35:J35" si="151">F35*55000*0.35/1000/0.55</f>
        <v>34545</v>
      </c>
      <c r="J35" s="73">
        <f t="shared" si="151"/>
        <v>0</v>
      </c>
      <c r="K35" s="68">
        <f t="shared" si="19"/>
        <v>34545</v>
      </c>
      <c r="L35" s="71">
        <v>24138.0</v>
      </c>
      <c r="M35" s="71">
        <v>0.0</v>
      </c>
      <c r="N35" s="68">
        <f t="shared" si="3"/>
        <v>24138</v>
      </c>
      <c r="O35" s="71">
        <v>3043.884892086331</v>
      </c>
      <c r="P35" s="71">
        <v>0.0</v>
      </c>
      <c r="Q35" s="68">
        <f t="shared" si="4"/>
        <v>3043.884892</v>
      </c>
      <c r="R35" s="71">
        <f t="shared" ref="R35:S35" si="152">L35-O35</f>
        <v>21094.11511</v>
      </c>
      <c r="S35" s="71">
        <f t="shared" si="152"/>
        <v>0</v>
      </c>
      <c r="T35" s="68">
        <f t="shared" si="6"/>
        <v>21094.11511</v>
      </c>
      <c r="U35" s="71">
        <f t="shared" ref="U35:V35" si="153">R35*0.55</f>
        <v>11601.76331</v>
      </c>
      <c r="V35" s="71">
        <f t="shared" si="153"/>
        <v>0</v>
      </c>
      <c r="W35" s="68">
        <f t="shared" si="8"/>
        <v>11601.76331</v>
      </c>
      <c r="X35" s="71">
        <f t="shared" ref="X35:Y35" si="154">U35/0.95</f>
        <v>12212.38243</v>
      </c>
      <c r="Y35" s="71">
        <f t="shared" si="154"/>
        <v>0</v>
      </c>
      <c r="Z35" s="68">
        <f t="shared" si="10"/>
        <v>12212.38243</v>
      </c>
      <c r="AA35" s="71">
        <v>5993.1873</v>
      </c>
      <c r="AB35" s="71">
        <v>0.0</v>
      </c>
      <c r="AC35" s="68">
        <f t="shared" si="11"/>
        <v>5993.1873</v>
      </c>
      <c r="AD35" s="71">
        <f t="shared" ref="AD35:AE35" si="155">AA35*0.95</f>
        <v>5693.527935</v>
      </c>
      <c r="AE35" s="71">
        <f t="shared" si="155"/>
        <v>0</v>
      </c>
      <c r="AF35" s="68">
        <f t="shared" si="13"/>
        <v>5693.527935</v>
      </c>
      <c r="AG35" s="71">
        <v>213.0</v>
      </c>
      <c r="AH35" s="71">
        <v>0.0</v>
      </c>
      <c r="AI35" s="68">
        <f t="shared" si="14"/>
        <v>213</v>
      </c>
      <c r="AJ35" s="71">
        <f t="shared" ref="AJ35:AK35" si="156">AG35/1.05506</f>
        <v>201.884253</v>
      </c>
      <c r="AK35" s="71">
        <f t="shared" si="156"/>
        <v>0</v>
      </c>
      <c r="AL35" s="68">
        <f t="shared" si="16"/>
        <v>201.884253</v>
      </c>
    </row>
    <row r="36" ht="14.25" customHeight="1">
      <c r="B36" s="69">
        <v>45713.0</v>
      </c>
      <c r="C36" s="70"/>
      <c r="D36" s="70"/>
      <c r="E36" s="68">
        <f t="shared" si="1"/>
        <v>0</v>
      </c>
      <c r="F36" s="71">
        <v>937.0</v>
      </c>
      <c r="G36" s="71">
        <v>0.0</v>
      </c>
      <c r="H36" s="68">
        <f t="shared" si="17"/>
        <v>937</v>
      </c>
      <c r="I36" s="73">
        <f t="shared" ref="I36:J36" si="157">F36*55000*0.35/1000/0.55</f>
        <v>32795</v>
      </c>
      <c r="J36" s="73">
        <f t="shared" si="157"/>
        <v>0</v>
      </c>
      <c r="K36" s="68">
        <f t="shared" si="19"/>
        <v>32795</v>
      </c>
      <c r="L36" s="71">
        <v>25277.0</v>
      </c>
      <c r="M36" s="71">
        <v>0.0</v>
      </c>
      <c r="N36" s="68">
        <f t="shared" si="3"/>
        <v>25277</v>
      </c>
      <c r="O36" s="71">
        <v>3125.8992805755397</v>
      </c>
      <c r="P36" s="71">
        <v>0.0</v>
      </c>
      <c r="Q36" s="68">
        <f t="shared" si="4"/>
        <v>3125.899281</v>
      </c>
      <c r="R36" s="71">
        <f t="shared" ref="R36:S36" si="158">L36-O36</f>
        <v>22151.10072</v>
      </c>
      <c r="S36" s="71">
        <f t="shared" si="158"/>
        <v>0</v>
      </c>
      <c r="T36" s="68">
        <f t="shared" si="6"/>
        <v>22151.10072</v>
      </c>
      <c r="U36" s="71">
        <f t="shared" ref="U36:V36" si="159">R36*0.55</f>
        <v>12183.1054</v>
      </c>
      <c r="V36" s="71">
        <f t="shared" si="159"/>
        <v>0</v>
      </c>
      <c r="W36" s="68">
        <f t="shared" si="8"/>
        <v>12183.1054</v>
      </c>
      <c r="X36" s="71">
        <f t="shared" ref="X36:Y36" si="160">U36/0.95</f>
        <v>12824.32147</v>
      </c>
      <c r="Y36" s="71">
        <f t="shared" si="160"/>
        <v>0</v>
      </c>
      <c r="Z36" s="68">
        <f t="shared" si="10"/>
        <v>12824.32147</v>
      </c>
      <c r="AA36" s="71">
        <v>6254.3135</v>
      </c>
      <c r="AB36" s="71">
        <v>0.0</v>
      </c>
      <c r="AC36" s="68">
        <f t="shared" si="11"/>
        <v>6254.3135</v>
      </c>
      <c r="AD36" s="71">
        <f t="shared" ref="AD36:AE36" si="161">AA36*0.95</f>
        <v>5941.597825</v>
      </c>
      <c r="AE36" s="71">
        <f t="shared" si="161"/>
        <v>0</v>
      </c>
      <c r="AF36" s="68">
        <f t="shared" si="13"/>
        <v>5941.597825</v>
      </c>
      <c r="AG36" s="71">
        <v>221.0</v>
      </c>
      <c r="AH36" s="71">
        <v>0.0</v>
      </c>
      <c r="AI36" s="68">
        <f t="shared" si="14"/>
        <v>221</v>
      </c>
      <c r="AJ36" s="71">
        <f t="shared" ref="AJ36:AK36" si="162">AG36/1.05506</f>
        <v>209.4667602</v>
      </c>
      <c r="AK36" s="71">
        <f t="shared" si="162"/>
        <v>0</v>
      </c>
      <c r="AL36" s="68">
        <f t="shared" si="16"/>
        <v>209.4667602</v>
      </c>
    </row>
    <row r="37" ht="14.25" customHeight="1">
      <c r="B37" s="69">
        <v>45714.0</v>
      </c>
      <c r="C37" s="70"/>
      <c r="D37" s="70"/>
      <c r="E37" s="68">
        <f t="shared" si="1"/>
        <v>0</v>
      </c>
      <c r="F37" s="71">
        <v>961.0</v>
      </c>
      <c r="G37" s="71">
        <v>0.0</v>
      </c>
      <c r="H37" s="68">
        <f t="shared" si="17"/>
        <v>961</v>
      </c>
      <c r="I37" s="73">
        <f t="shared" ref="I37:J37" si="163">F37*55000*0.35/1000/0.55</f>
        <v>33635</v>
      </c>
      <c r="J37" s="73">
        <f t="shared" si="163"/>
        <v>0</v>
      </c>
      <c r="K37" s="68">
        <f t="shared" si="19"/>
        <v>33635</v>
      </c>
      <c r="L37" s="71">
        <v>25563.0</v>
      </c>
      <c r="M37" s="71">
        <v>0.0</v>
      </c>
      <c r="N37" s="68">
        <f t="shared" si="3"/>
        <v>25563</v>
      </c>
      <c r="O37" s="71">
        <v>3147.1223021582737</v>
      </c>
      <c r="P37" s="71">
        <v>0.0</v>
      </c>
      <c r="Q37" s="68">
        <f t="shared" si="4"/>
        <v>3147.122302</v>
      </c>
      <c r="R37" s="71">
        <f t="shared" ref="R37:S37" si="164">L37-O37</f>
        <v>22415.8777</v>
      </c>
      <c r="S37" s="71">
        <f t="shared" si="164"/>
        <v>0</v>
      </c>
      <c r="T37" s="68">
        <f t="shared" si="6"/>
        <v>22415.8777</v>
      </c>
      <c r="U37" s="71">
        <f t="shared" ref="U37:V37" si="165">R37*0.55</f>
        <v>12328.73273</v>
      </c>
      <c r="V37" s="71">
        <f t="shared" si="165"/>
        <v>0</v>
      </c>
      <c r="W37" s="68">
        <f t="shared" si="8"/>
        <v>12328.73273</v>
      </c>
      <c r="X37" s="71">
        <f t="shared" ref="X37:Y37" si="166">U37/0.95</f>
        <v>12977.6134</v>
      </c>
      <c r="Y37" s="71">
        <f t="shared" si="166"/>
        <v>0</v>
      </c>
      <c r="Z37" s="68">
        <f t="shared" si="10"/>
        <v>12977.6134</v>
      </c>
      <c r="AA37" s="71">
        <v>2474.6282</v>
      </c>
      <c r="AB37" s="71">
        <v>0.0</v>
      </c>
      <c r="AC37" s="68">
        <f t="shared" si="11"/>
        <v>2474.6282</v>
      </c>
      <c r="AD37" s="71">
        <f t="shared" ref="AD37:AE37" si="167">AA37*0.95</f>
        <v>2350.89679</v>
      </c>
      <c r="AE37" s="71">
        <f t="shared" si="167"/>
        <v>0</v>
      </c>
      <c r="AF37" s="68">
        <f t="shared" si="13"/>
        <v>2350.89679</v>
      </c>
      <c r="AG37" s="71">
        <v>87.0</v>
      </c>
      <c r="AH37" s="71">
        <v>0.0</v>
      </c>
      <c r="AI37" s="68">
        <f t="shared" si="14"/>
        <v>87</v>
      </c>
      <c r="AJ37" s="71">
        <f t="shared" ref="AJ37:AK37" si="168">AG37/1.05506</f>
        <v>82.45976532</v>
      </c>
      <c r="AK37" s="71">
        <f t="shared" si="168"/>
        <v>0</v>
      </c>
      <c r="AL37" s="68">
        <f t="shared" si="16"/>
        <v>82.45976532</v>
      </c>
    </row>
    <row r="38" ht="14.25" customHeight="1">
      <c r="B38" s="69">
        <v>45715.0</v>
      </c>
      <c r="C38" s="70"/>
      <c r="D38" s="70"/>
      <c r="E38" s="68">
        <f t="shared" si="1"/>
        <v>0</v>
      </c>
      <c r="F38" s="71">
        <v>797.0</v>
      </c>
      <c r="G38" s="71">
        <v>0.0</v>
      </c>
      <c r="H38" s="68">
        <f t="shared" si="17"/>
        <v>797</v>
      </c>
      <c r="I38" s="73">
        <f t="shared" ref="I38:J38" si="169">F38*55000*0.35/1000/0.55</f>
        <v>27895</v>
      </c>
      <c r="J38" s="73">
        <f t="shared" si="169"/>
        <v>0</v>
      </c>
      <c r="K38" s="68">
        <f t="shared" si="19"/>
        <v>27895</v>
      </c>
      <c r="L38" s="71">
        <v>22944.0</v>
      </c>
      <c r="M38" s="71">
        <v>0.0</v>
      </c>
      <c r="N38" s="68">
        <f t="shared" si="3"/>
        <v>22944</v>
      </c>
      <c r="O38" s="71">
        <v>2935.971223021583</v>
      </c>
      <c r="P38" s="71">
        <v>0.0</v>
      </c>
      <c r="Q38" s="68">
        <f t="shared" si="4"/>
        <v>2935.971223</v>
      </c>
      <c r="R38" s="71">
        <f t="shared" ref="R38:S38" si="170">L38-O38</f>
        <v>20008.02878</v>
      </c>
      <c r="S38" s="71">
        <f t="shared" si="170"/>
        <v>0</v>
      </c>
      <c r="T38" s="68">
        <f t="shared" si="6"/>
        <v>20008.02878</v>
      </c>
      <c r="U38" s="71">
        <f t="shared" ref="U38:V38" si="171">R38*0.55</f>
        <v>11004.41583</v>
      </c>
      <c r="V38" s="71">
        <f t="shared" si="171"/>
        <v>0</v>
      </c>
      <c r="W38" s="68">
        <f t="shared" si="8"/>
        <v>11004.41583</v>
      </c>
      <c r="X38" s="71">
        <f t="shared" ref="X38:Y38" si="172">U38/0.95</f>
        <v>11583.59561</v>
      </c>
      <c r="Y38" s="71">
        <f t="shared" si="172"/>
        <v>0</v>
      </c>
      <c r="Z38" s="68">
        <f t="shared" si="10"/>
        <v>11583.59561</v>
      </c>
      <c r="AA38" s="71">
        <v>6016.0237</v>
      </c>
      <c r="AB38" s="71">
        <v>0.0</v>
      </c>
      <c r="AC38" s="68">
        <f t="shared" si="11"/>
        <v>6016.0237</v>
      </c>
      <c r="AD38" s="71">
        <f t="shared" ref="AD38:AE38" si="173">AA38*0.95</f>
        <v>5715.222515</v>
      </c>
      <c r="AE38" s="71">
        <f t="shared" si="173"/>
        <v>0</v>
      </c>
      <c r="AF38" s="68">
        <f t="shared" si="13"/>
        <v>5715.222515</v>
      </c>
      <c r="AG38" s="71">
        <v>213.0</v>
      </c>
      <c r="AH38" s="71">
        <v>0.0</v>
      </c>
      <c r="AI38" s="68">
        <f t="shared" si="14"/>
        <v>213</v>
      </c>
      <c r="AJ38" s="71">
        <f t="shared" ref="AJ38:AK38" si="174">AG38/1.05506</f>
        <v>201.884253</v>
      </c>
      <c r="AK38" s="71">
        <f t="shared" si="174"/>
        <v>0</v>
      </c>
      <c r="AL38" s="68">
        <f t="shared" si="16"/>
        <v>201.884253</v>
      </c>
    </row>
    <row r="39" ht="14.25" customHeight="1">
      <c r="B39" s="69">
        <v>45716.0</v>
      </c>
      <c r="C39" s="70"/>
      <c r="D39" s="70"/>
      <c r="E39" s="68">
        <f t="shared" si="1"/>
        <v>0</v>
      </c>
      <c r="F39" s="71">
        <v>953.0</v>
      </c>
      <c r="G39" s="71">
        <v>0.0</v>
      </c>
      <c r="H39" s="68">
        <f t="shared" si="17"/>
        <v>953</v>
      </c>
      <c r="I39" s="73">
        <f t="shared" ref="I39:J39" si="175">F39*55000*0.35/1000/0.55</f>
        <v>33355</v>
      </c>
      <c r="J39" s="73">
        <f t="shared" si="175"/>
        <v>0</v>
      </c>
      <c r="K39" s="68">
        <f t="shared" si="19"/>
        <v>33355</v>
      </c>
      <c r="L39" s="71">
        <v>22963.0</v>
      </c>
      <c r="M39" s="71">
        <v>0.0</v>
      </c>
      <c r="N39" s="68">
        <f t="shared" si="3"/>
        <v>22963</v>
      </c>
      <c r="O39" s="71">
        <v>3056.834532374101</v>
      </c>
      <c r="P39" s="71">
        <v>0.0</v>
      </c>
      <c r="Q39" s="68">
        <f t="shared" si="4"/>
        <v>3056.834532</v>
      </c>
      <c r="R39" s="71">
        <f t="shared" ref="R39:S39" si="176">L39-O39</f>
        <v>19906.16547</v>
      </c>
      <c r="S39" s="71">
        <f t="shared" si="176"/>
        <v>0</v>
      </c>
      <c r="T39" s="68">
        <f t="shared" si="6"/>
        <v>19906.16547</v>
      </c>
      <c r="U39" s="71">
        <f t="shared" ref="U39:V39" si="177">R39*0.55</f>
        <v>10948.39101</v>
      </c>
      <c r="V39" s="71">
        <f t="shared" si="177"/>
        <v>0</v>
      </c>
      <c r="W39" s="68">
        <f t="shared" si="8"/>
        <v>10948.39101</v>
      </c>
      <c r="X39" s="71">
        <f t="shared" ref="X39:Y39" si="178">U39/0.95</f>
        <v>11524.62211</v>
      </c>
      <c r="Y39" s="71">
        <f t="shared" si="178"/>
        <v>0</v>
      </c>
      <c r="Z39" s="68">
        <f t="shared" si="10"/>
        <v>11524.62211</v>
      </c>
      <c r="AA39" s="71">
        <v>3708.1626</v>
      </c>
      <c r="AB39" s="71">
        <v>0.0</v>
      </c>
      <c r="AC39" s="68">
        <f t="shared" si="11"/>
        <v>3708.1626</v>
      </c>
      <c r="AD39" s="71">
        <f t="shared" ref="AD39:AE39" si="179">AA39*0.95</f>
        <v>3522.75447</v>
      </c>
      <c r="AE39" s="71">
        <f t="shared" si="179"/>
        <v>0</v>
      </c>
      <c r="AF39" s="68">
        <f t="shared" si="13"/>
        <v>3522.75447</v>
      </c>
      <c r="AG39" s="71">
        <v>131.0</v>
      </c>
      <c r="AH39" s="71">
        <v>0.0</v>
      </c>
      <c r="AI39" s="68">
        <f t="shared" si="14"/>
        <v>131</v>
      </c>
      <c r="AJ39" s="71">
        <f t="shared" ref="AJ39:AK39" si="180">AG39/1.05506</f>
        <v>124.1635547</v>
      </c>
      <c r="AK39" s="71">
        <f t="shared" si="180"/>
        <v>0</v>
      </c>
      <c r="AL39" s="68">
        <f t="shared" si="16"/>
        <v>124.1635547</v>
      </c>
    </row>
    <row r="40" ht="15.0" customHeight="1">
      <c r="B40" s="76" t="s">
        <v>49</v>
      </c>
      <c r="C40" s="77">
        <f t="shared" ref="C40:D40" si="181">SUM(C11:C39)</f>
        <v>0</v>
      </c>
      <c r="D40" s="77">
        <f t="shared" si="181"/>
        <v>0</v>
      </c>
      <c r="E40" s="77"/>
      <c r="F40" s="77">
        <f t="shared" ref="F40:AI40" si="182">SUM(F12:F39)</f>
        <v>17391</v>
      </c>
      <c r="G40" s="77">
        <f t="shared" si="182"/>
        <v>0</v>
      </c>
      <c r="H40" s="77">
        <f t="shared" si="182"/>
        <v>17391</v>
      </c>
      <c r="I40" s="77">
        <f t="shared" si="182"/>
        <v>608685</v>
      </c>
      <c r="J40" s="77">
        <f t="shared" si="182"/>
        <v>0</v>
      </c>
      <c r="K40" s="77">
        <f t="shared" si="182"/>
        <v>608685</v>
      </c>
      <c r="L40" s="77">
        <f t="shared" si="182"/>
        <v>242195</v>
      </c>
      <c r="M40" s="77">
        <f t="shared" si="182"/>
        <v>0</v>
      </c>
      <c r="N40" s="77">
        <f t="shared" si="182"/>
        <v>242195</v>
      </c>
      <c r="O40" s="77">
        <f t="shared" si="182"/>
        <v>31257.19424</v>
      </c>
      <c r="P40" s="77">
        <f t="shared" si="182"/>
        <v>0</v>
      </c>
      <c r="Q40" s="77">
        <f t="shared" si="182"/>
        <v>31257.19424</v>
      </c>
      <c r="R40" s="77">
        <f t="shared" si="182"/>
        <v>210937.8058</v>
      </c>
      <c r="S40" s="77">
        <f t="shared" si="182"/>
        <v>0</v>
      </c>
      <c r="T40" s="77">
        <f t="shared" si="182"/>
        <v>210937.8058</v>
      </c>
      <c r="U40" s="77">
        <f t="shared" si="182"/>
        <v>116015.7932</v>
      </c>
      <c r="V40" s="77">
        <f t="shared" si="182"/>
        <v>0</v>
      </c>
      <c r="W40" s="77">
        <f t="shared" si="182"/>
        <v>116015.7932</v>
      </c>
      <c r="X40" s="77">
        <f t="shared" si="182"/>
        <v>122121.8875</v>
      </c>
      <c r="Y40" s="77">
        <f t="shared" si="182"/>
        <v>0</v>
      </c>
      <c r="Z40" s="77">
        <f t="shared" si="182"/>
        <v>122121.8875</v>
      </c>
      <c r="AA40" s="77">
        <f t="shared" si="182"/>
        <v>42630.383</v>
      </c>
      <c r="AB40" s="77">
        <f t="shared" si="182"/>
        <v>0</v>
      </c>
      <c r="AC40" s="77">
        <f t="shared" si="182"/>
        <v>42630.383</v>
      </c>
      <c r="AD40" s="77">
        <f t="shared" si="182"/>
        <v>40498.86385</v>
      </c>
      <c r="AE40" s="77">
        <f t="shared" si="182"/>
        <v>0</v>
      </c>
      <c r="AF40" s="77">
        <f t="shared" si="182"/>
        <v>40498.86385</v>
      </c>
      <c r="AG40" s="77">
        <f t="shared" si="182"/>
        <v>1511</v>
      </c>
      <c r="AH40" s="77">
        <f t="shared" si="182"/>
        <v>0</v>
      </c>
      <c r="AI40" s="77">
        <f t="shared" si="182"/>
        <v>1511</v>
      </c>
      <c r="AJ40" s="78">
        <v>1432.0</v>
      </c>
      <c r="AK40" s="77">
        <f t="shared" ref="AK40:AL40" si="183">SUM(AK12:AK39)</f>
        <v>0</v>
      </c>
      <c r="AL40" s="77">
        <f t="shared" si="183"/>
        <v>1432.146039</v>
      </c>
      <c r="AN40" s="75">
        <f>AF40/W40*100</f>
        <v>34.908061</v>
      </c>
      <c r="AO40" s="83"/>
    </row>
    <row r="41" ht="14.25" customHeight="1"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</row>
    <row r="42" ht="14.25" customHeight="1">
      <c r="C42" s="56"/>
      <c r="D42" s="56"/>
      <c r="E42" s="56"/>
      <c r="F42" s="56"/>
      <c r="G42" s="56"/>
      <c r="H42" s="56"/>
      <c r="I42" s="56"/>
      <c r="J42" s="56"/>
      <c r="K42" s="56"/>
      <c r="L42" s="80"/>
      <c r="M42" s="80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80"/>
      <c r="Y42" s="80"/>
      <c r="Z42" s="80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</row>
    <row r="43" ht="15.75" customHeight="1"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</row>
    <row r="44" ht="18.0" customHeight="1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</row>
    <row r="45" ht="14.25" customHeight="1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ht="14.25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5.7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4.25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5.7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5.75" customHeight="1">
      <c r="B56" s="80"/>
      <c r="C56" s="80"/>
      <c r="D56" s="80"/>
      <c r="E56" s="80"/>
      <c r="F56" s="80"/>
      <c r="G56" s="80"/>
      <c r="H56" s="80"/>
      <c r="I56" s="80"/>
      <c r="J56" s="80"/>
      <c r="K56" s="56"/>
      <c r="L56" s="56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56"/>
      <c r="X56" s="56"/>
      <c r="Y56" s="56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53"/>
      <c r="C57" s="56"/>
      <c r="D57" s="56"/>
      <c r="E57" s="56"/>
      <c r="F57" s="56"/>
      <c r="G57" s="56"/>
      <c r="H57" s="56"/>
      <c r="I57" s="56"/>
      <c r="J57" s="56"/>
      <c r="K57" s="56"/>
      <c r="L57" s="81"/>
      <c r="M57" s="81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81"/>
      <c r="Y57" s="81"/>
      <c r="Z57" s="81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</row>
    <row r="58" ht="14.25" customHeight="1">
      <c r="B58" s="53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</row>
    <row r="59" ht="14.25" customHeight="1">
      <c r="B59" s="53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</row>
    <row r="60" ht="14.25" customHeight="1">
      <c r="B60" s="53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2"/>
      <c r="M64" s="82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2"/>
      <c r="Y64" s="82"/>
      <c r="Z64" s="82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4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ht="14.25" customHeight="1">
      <c r="B66" s="54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ht="14.25" customHeight="1">
      <c r="B67" s="53"/>
      <c r="C67" s="82"/>
      <c r="D67" s="82"/>
      <c r="E67" s="82"/>
      <c r="F67" s="82"/>
      <c r="G67" s="82"/>
      <c r="H67" s="82"/>
      <c r="I67" s="82"/>
      <c r="J67" s="82"/>
      <c r="K67" s="82"/>
      <c r="L67" s="56"/>
      <c r="M67" s="56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56"/>
      <c r="Y67" s="56"/>
      <c r="Z67" s="56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4.25" customHeight="1">
      <c r="B68" s="53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</row>
    <row r="69" ht="14.25" customHeight="1">
      <c r="B69" s="53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</row>
    <row r="70" ht="14.25" customHeight="1"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</row>
    <row r="71" ht="14.25" customHeight="1"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8" width="12.0"/>
    <col customWidth="1" min="9" max="9" width="13.13"/>
    <col customWidth="1" min="10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10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45716.0</v>
      </c>
      <c r="C11" s="67"/>
      <c r="D11" s="67"/>
      <c r="E11" s="68">
        <f t="shared" ref="E11:E42" si="1">SUM(C11+D11)</f>
        <v>0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6">SUM(R11+S11)</f>
        <v>0</v>
      </c>
      <c r="U11" s="68"/>
      <c r="V11" s="68"/>
      <c r="W11" s="68">
        <f t="shared" ref="W11:W42" si="8">SUM(U11+V11)</f>
        <v>0</v>
      </c>
      <c r="X11" s="68"/>
      <c r="Y11" s="68"/>
      <c r="Z11" s="68">
        <f t="shared" ref="Z11:Z42" si="10">SUM(X11+Y11)</f>
        <v>0</v>
      </c>
      <c r="AA11" s="68"/>
      <c r="AB11" s="68"/>
      <c r="AC11" s="68">
        <f t="shared" ref="AC11:AC42" si="11">SUM(AA11+AB11)</f>
        <v>0</v>
      </c>
      <c r="AD11" s="68"/>
      <c r="AE11" s="68"/>
      <c r="AF11" s="68">
        <f t="shared" ref="AF11:AF42" si="13">SUM(AD11+AE11)</f>
        <v>0</v>
      </c>
      <c r="AG11" s="68"/>
      <c r="AH11" s="68"/>
      <c r="AI11" s="68">
        <f t="shared" ref="AI11:AI42" si="14">SUM(AG11+AH11)</f>
        <v>0</v>
      </c>
      <c r="AJ11" s="68"/>
      <c r="AK11" s="68"/>
      <c r="AL11" s="68">
        <f t="shared" ref="AL11:AL42" si="16">SUM(AJ11+AK11)</f>
        <v>0</v>
      </c>
    </row>
    <row r="12" ht="18.0" customHeight="1">
      <c r="B12" s="69">
        <v>45717.0</v>
      </c>
      <c r="C12" s="70"/>
      <c r="D12" s="70"/>
      <c r="E12" s="68">
        <f t="shared" si="1"/>
        <v>0</v>
      </c>
      <c r="F12" s="71">
        <v>0.0</v>
      </c>
      <c r="G12" s="71">
        <v>0.0</v>
      </c>
      <c r="H12" s="68">
        <f t="shared" ref="H12:H42" si="17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42" si="19">J12+I12</f>
        <v>0</v>
      </c>
      <c r="L12" s="71">
        <v>20735.0</v>
      </c>
      <c r="M12" s="71">
        <v>0.0</v>
      </c>
      <c r="N12" s="68">
        <f t="shared" si="3"/>
        <v>20735</v>
      </c>
      <c r="O12" s="71">
        <v>2971.223021582734</v>
      </c>
      <c r="P12" s="71">
        <v>0.0</v>
      </c>
      <c r="Q12" s="68">
        <f t="shared" si="4"/>
        <v>2971.223022</v>
      </c>
      <c r="R12" s="71">
        <f t="shared" ref="R12:S12" si="5">L12-O12</f>
        <v>17763.77698</v>
      </c>
      <c r="S12" s="71">
        <f t="shared" si="5"/>
        <v>0</v>
      </c>
      <c r="T12" s="68">
        <f t="shared" si="6"/>
        <v>17763.77698</v>
      </c>
      <c r="U12" s="71">
        <f t="shared" ref="U12:V12" si="7">R12*0.55</f>
        <v>9770.077338</v>
      </c>
      <c r="V12" s="71">
        <f t="shared" si="7"/>
        <v>0</v>
      </c>
      <c r="W12" s="68">
        <f t="shared" si="8"/>
        <v>9770.077338</v>
      </c>
      <c r="X12" s="71">
        <f t="shared" ref="X12:Y12" si="9">U12/0.95</f>
        <v>10284.29193</v>
      </c>
      <c r="Y12" s="71">
        <f t="shared" si="9"/>
        <v>0</v>
      </c>
      <c r="Z12" s="68">
        <f t="shared" si="10"/>
        <v>10284.29193</v>
      </c>
      <c r="AA12" s="71">
        <v>2020.6712</v>
      </c>
      <c r="AB12" s="71">
        <v>0.0</v>
      </c>
      <c r="AC12" s="68">
        <f t="shared" si="11"/>
        <v>2020.6712</v>
      </c>
      <c r="AD12" s="71">
        <f t="shared" ref="AD12:AE12" si="12">AA12*0.95</f>
        <v>1919.63764</v>
      </c>
      <c r="AE12" s="71">
        <f t="shared" si="12"/>
        <v>0</v>
      </c>
      <c r="AF12" s="68">
        <f t="shared" si="13"/>
        <v>1919.63764</v>
      </c>
      <c r="AG12" s="71">
        <v>71.0</v>
      </c>
      <c r="AH12" s="71">
        <v>0.0</v>
      </c>
      <c r="AI12" s="68">
        <f t="shared" si="14"/>
        <v>71</v>
      </c>
      <c r="AJ12" s="71">
        <f t="shared" ref="AJ12:AK12" si="15">AG12/1.05506</f>
        <v>67.29475101</v>
      </c>
      <c r="AK12" s="71">
        <f t="shared" si="15"/>
        <v>0</v>
      </c>
      <c r="AL12" s="68">
        <f t="shared" si="16"/>
        <v>67.29475101</v>
      </c>
    </row>
    <row r="13" ht="14.25" customHeight="1">
      <c r="B13" s="69">
        <v>45718.0</v>
      </c>
      <c r="C13" s="70"/>
      <c r="D13" s="70"/>
      <c r="E13" s="68">
        <f t="shared" si="1"/>
        <v>0</v>
      </c>
      <c r="F13" s="71">
        <v>138.0</v>
      </c>
      <c r="G13" s="71">
        <v>0.0</v>
      </c>
      <c r="H13" s="68">
        <f t="shared" si="17"/>
        <v>138</v>
      </c>
      <c r="I13" s="73">
        <f t="shared" ref="I13:J13" si="18">F13*55000*0.35/1000/0.55</f>
        <v>4830</v>
      </c>
      <c r="J13" s="73">
        <f t="shared" si="18"/>
        <v>0</v>
      </c>
      <c r="K13" s="68">
        <f t="shared" si="19"/>
        <v>4830</v>
      </c>
      <c r="L13" s="71">
        <v>19226.0</v>
      </c>
      <c r="M13" s="71">
        <v>0.0</v>
      </c>
      <c r="N13" s="68">
        <f t="shared" si="3"/>
        <v>19226</v>
      </c>
      <c r="O13" s="71">
        <v>2823.381294964029</v>
      </c>
      <c r="P13" s="71">
        <v>0.0</v>
      </c>
      <c r="Q13" s="68">
        <f t="shared" si="4"/>
        <v>2823.381295</v>
      </c>
      <c r="R13" s="71">
        <f t="shared" ref="R13:S13" si="20">L13-O13</f>
        <v>16402.61871</v>
      </c>
      <c r="S13" s="71">
        <f t="shared" si="20"/>
        <v>0</v>
      </c>
      <c r="T13" s="68">
        <f t="shared" si="6"/>
        <v>16402.61871</v>
      </c>
      <c r="U13" s="71">
        <f t="shared" ref="U13:V13" si="21">R13*0.55</f>
        <v>9021.440288</v>
      </c>
      <c r="V13" s="71">
        <f t="shared" si="21"/>
        <v>0</v>
      </c>
      <c r="W13" s="68">
        <f t="shared" si="8"/>
        <v>9021.440288</v>
      </c>
      <c r="X13" s="71">
        <f t="shared" ref="X13:Y13" si="22">U13/0.95</f>
        <v>9496.252934</v>
      </c>
      <c r="Y13" s="71">
        <f t="shared" si="22"/>
        <v>0</v>
      </c>
      <c r="Z13" s="68">
        <f t="shared" si="10"/>
        <v>9496.252934</v>
      </c>
      <c r="AA13" s="71">
        <v>1041.3809</v>
      </c>
      <c r="AB13" s="71">
        <v>0.0</v>
      </c>
      <c r="AC13" s="68">
        <f t="shared" si="11"/>
        <v>1041.3809</v>
      </c>
      <c r="AD13" s="71">
        <f t="shared" ref="AD13:AE13" si="23">AA13*0.95</f>
        <v>989.311855</v>
      </c>
      <c r="AE13" s="71">
        <f t="shared" si="23"/>
        <v>0</v>
      </c>
      <c r="AF13" s="68">
        <f t="shared" si="13"/>
        <v>989.311855</v>
      </c>
      <c r="AG13" s="71">
        <v>37.0</v>
      </c>
      <c r="AH13" s="71">
        <v>0.0</v>
      </c>
      <c r="AI13" s="68">
        <f t="shared" si="14"/>
        <v>37</v>
      </c>
      <c r="AJ13" s="71">
        <f t="shared" ref="AJ13:AK13" si="24">AG13/1.05506</f>
        <v>35.0690956</v>
      </c>
      <c r="AK13" s="71">
        <f t="shared" si="24"/>
        <v>0</v>
      </c>
      <c r="AL13" s="68">
        <f t="shared" si="16"/>
        <v>35.0690956</v>
      </c>
    </row>
    <row r="14" ht="14.25" customHeight="1">
      <c r="B14" s="69">
        <v>45719.0</v>
      </c>
      <c r="C14" s="70"/>
      <c r="D14" s="70"/>
      <c r="E14" s="68">
        <f t="shared" si="1"/>
        <v>0</v>
      </c>
      <c r="F14" s="71">
        <v>752.0</v>
      </c>
      <c r="G14" s="71">
        <v>0.0</v>
      </c>
      <c r="H14" s="68">
        <f t="shared" si="17"/>
        <v>752</v>
      </c>
      <c r="I14" s="73">
        <f t="shared" ref="I14:J14" si="25">F14*55000*0.35/1000/0.55</f>
        <v>26320</v>
      </c>
      <c r="J14" s="73">
        <f t="shared" si="25"/>
        <v>0</v>
      </c>
      <c r="K14" s="68">
        <f t="shared" si="19"/>
        <v>26320</v>
      </c>
      <c r="L14" s="71">
        <v>8073.0</v>
      </c>
      <c r="M14" s="71">
        <v>0.0</v>
      </c>
      <c r="N14" s="68">
        <f t="shared" si="3"/>
        <v>8073</v>
      </c>
      <c r="O14" s="71">
        <v>1666.5467625899282</v>
      </c>
      <c r="P14" s="71">
        <v>0.0</v>
      </c>
      <c r="Q14" s="68">
        <f t="shared" si="4"/>
        <v>1666.546763</v>
      </c>
      <c r="R14" s="71">
        <f t="shared" ref="R14:S14" si="26">L14-O14</f>
        <v>6406.453237</v>
      </c>
      <c r="S14" s="71">
        <f t="shared" si="26"/>
        <v>0</v>
      </c>
      <c r="T14" s="68">
        <f t="shared" si="6"/>
        <v>6406.453237</v>
      </c>
      <c r="U14" s="71">
        <f t="shared" ref="U14:V14" si="27">R14*0.55</f>
        <v>3523.549281</v>
      </c>
      <c r="V14" s="71">
        <f t="shared" si="27"/>
        <v>0</v>
      </c>
      <c r="W14" s="68">
        <f t="shared" si="8"/>
        <v>3523.549281</v>
      </c>
      <c r="X14" s="71">
        <f t="shared" ref="X14:Y14" si="28">U14/0.95</f>
        <v>3708.999243</v>
      </c>
      <c r="Y14" s="71">
        <f t="shared" si="28"/>
        <v>0</v>
      </c>
      <c r="Z14" s="68">
        <f t="shared" si="10"/>
        <v>3708.999243</v>
      </c>
      <c r="AA14" s="71">
        <v>0.0</v>
      </c>
      <c r="AB14" s="71">
        <v>0.0</v>
      </c>
      <c r="AC14" s="68">
        <f t="shared" si="11"/>
        <v>0</v>
      </c>
      <c r="AD14" s="71">
        <f t="shared" ref="AD14:AE14" si="29">AA14*0.95</f>
        <v>0</v>
      </c>
      <c r="AE14" s="71">
        <f t="shared" si="29"/>
        <v>0</v>
      </c>
      <c r="AF14" s="68">
        <f t="shared" si="13"/>
        <v>0</v>
      </c>
      <c r="AG14" s="71">
        <v>0.0</v>
      </c>
      <c r="AH14" s="71">
        <v>0.0</v>
      </c>
      <c r="AI14" s="68">
        <f t="shared" si="14"/>
        <v>0</v>
      </c>
      <c r="AJ14" s="71">
        <f t="shared" ref="AJ14:AK14" si="30">AG14/1.05506</f>
        <v>0</v>
      </c>
      <c r="AK14" s="71">
        <f t="shared" si="30"/>
        <v>0</v>
      </c>
      <c r="AL14" s="68">
        <f t="shared" si="16"/>
        <v>0</v>
      </c>
    </row>
    <row r="15" ht="14.25" customHeight="1">
      <c r="B15" s="69">
        <v>45720.0</v>
      </c>
      <c r="C15" s="70"/>
      <c r="D15" s="70"/>
      <c r="E15" s="68">
        <f t="shared" si="1"/>
        <v>0</v>
      </c>
      <c r="F15" s="71">
        <v>800.0</v>
      </c>
      <c r="G15" s="71">
        <v>0.0</v>
      </c>
      <c r="H15" s="68">
        <f t="shared" si="17"/>
        <v>800</v>
      </c>
      <c r="I15" s="73">
        <f t="shared" ref="I15:J15" si="31">F15*55000*0.35/1000/0.55</f>
        <v>28000</v>
      </c>
      <c r="J15" s="73">
        <f t="shared" si="31"/>
        <v>0</v>
      </c>
      <c r="K15" s="68">
        <f t="shared" si="19"/>
        <v>28000</v>
      </c>
      <c r="L15" s="71">
        <v>7407.0</v>
      </c>
      <c r="M15" s="71">
        <v>0.0</v>
      </c>
      <c r="N15" s="68">
        <f t="shared" si="3"/>
        <v>7407</v>
      </c>
      <c r="O15" s="71">
        <v>1426.978417266187</v>
      </c>
      <c r="P15" s="71">
        <v>0.0</v>
      </c>
      <c r="Q15" s="68">
        <f t="shared" si="4"/>
        <v>1426.978417</v>
      </c>
      <c r="R15" s="71">
        <f t="shared" ref="R15:S15" si="32">L15-O15</f>
        <v>5980.021583</v>
      </c>
      <c r="S15" s="71">
        <f t="shared" si="32"/>
        <v>0</v>
      </c>
      <c r="T15" s="68">
        <f t="shared" si="6"/>
        <v>5980.021583</v>
      </c>
      <c r="U15" s="71">
        <f t="shared" ref="U15:V15" si="33">R15*0.55</f>
        <v>3289.011871</v>
      </c>
      <c r="V15" s="71">
        <f t="shared" si="33"/>
        <v>0</v>
      </c>
      <c r="W15" s="68">
        <f t="shared" si="8"/>
        <v>3289.011871</v>
      </c>
      <c r="X15" s="71">
        <f t="shared" ref="X15:Y15" si="34">U15/0.95</f>
        <v>3462.117758</v>
      </c>
      <c r="Y15" s="71">
        <f t="shared" si="34"/>
        <v>0</v>
      </c>
      <c r="Z15" s="68">
        <f t="shared" si="10"/>
        <v>3462.117758</v>
      </c>
      <c r="AA15" s="71">
        <v>0.0</v>
      </c>
      <c r="AB15" s="71">
        <v>0.0</v>
      </c>
      <c r="AC15" s="68">
        <f t="shared" si="11"/>
        <v>0</v>
      </c>
      <c r="AD15" s="71">
        <f t="shared" ref="AD15:AE15" si="35">AA15*0.95</f>
        <v>0</v>
      </c>
      <c r="AE15" s="71">
        <f t="shared" si="35"/>
        <v>0</v>
      </c>
      <c r="AF15" s="68">
        <f t="shared" si="13"/>
        <v>0</v>
      </c>
      <c r="AG15" s="71">
        <v>0.0</v>
      </c>
      <c r="AH15" s="71">
        <v>0.0</v>
      </c>
      <c r="AI15" s="68">
        <f t="shared" si="14"/>
        <v>0</v>
      </c>
      <c r="AJ15" s="71">
        <f t="shared" ref="AJ15:AK15" si="36">AG15/1.05506</f>
        <v>0</v>
      </c>
      <c r="AK15" s="71">
        <f t="shared" si="36"/>
        <v>0</v>
      </c>
      <c r="AL15" s="68">
        <f t="shared" si="16"/>
        <v>0</v>
      </c>
    </row>
    <row r="16" ht="14.25" customHeight="1">
      <c r="B16" s="69">
        <v>45721.0</v>
      </c>
      <c r="C16" s="70"/>
      <c r="D16" s="70"/>
      <c r="E16" s="68">
        <f t="shared" si="1"/>
        <v>0</v>
      </c>
      <c r="F16" s="71">
        <v>909.0</v>
      </c>
      <c r="G16" s="71">
        <v>0.0</v>
      </c>
      <c r="H16" s="68">
        <f t="shared" si="17"/>
        <v>909</v>
      </c>
      <c r="I16" s="73">
        <f t="shared" ref="I16:J16" si="37">F16*55000*0.35/1000/0.55</f>
        <v>31815</v>
      </c>
      <c r="J16" s="73">
        <f t="shared" si="37"/>
        <v>0</v>
      </c>
      <c r="K16" s="68">
        <f t="shared" si="19"/>
        <v>31815</v>
      </c>
      <c r="L16" s="71">
        <v>17576.0</v>
      </c>
      <c r="M16" s="71">
        <v>0.0</v>
      </c>
      <c r="N16" s="68">
        <f t="shared" si="3"/>
        <v>17576</v>
      </c>
      <c r="O16" s="71">
        <v>2613.3093525179856</v>
      </c>
      <c r="P16" s="71">
        <v>0.0</v>
      </c>
      <c r="Q16" s="68">
        <f t="shared" si="4"/>
        <v>2613.309353</v>
      </c>
      <c r="R16" s="71">
        <f t="shared" ref="R16:S16" si="38">L16-O16</f>
        <v>14962.69065</v>
      </c>
      <c r="S16" s="71">
        <f t="shared" si="38"/>
        <v>0</v>
      </c>
      <c r="T16" s="68">
        <f t="shared" si="6"/>
        <v>14962.69065</v>
      </c>
      <c r="U16" s="71">
        <f t="shared" ref="U16:V16" si="39">R16*0.55</f>
        <v>8229.479856</v>
      </c>
      <c r="V16" s="71">
        <f t="shared" si="39"/>
        <v>0</v>
      </c>
      <c r="W16" s="68">
        <f t="shared" si="8"/>
        <v>8229.479856</v>
      </c>
      <c r="X16" s="71">
        <f t="shared" ref="X16:Y16" si="40">U16/0.95</f>
        <v>8662.610375</v>
      </c>
      <c r="Y16" s="71">
        <f t="shared" si="40"/>
        <v>0</v>
      </c>
      <c r="Z16" s="68">
        <f t="shared" si="10"/>
        <v>8662.610375</v>
      </c>
      <c r="AA16" s="71">
        <v>799.1647</v>
      </c>
      <c r="AB16" s="71">
        <v>0.0</v>
      </c>
      <c r="AC16" s="68">
        <f t="shared" si="11"/>
        <v>799.1647</v>
      </c>
      <c r="AD16" s="71">
        <f t="shared" ref="AD16:AE16" si="41">AA16*0.95</f>
        <v>759.206465</v>
      </c>
      <c r="AE16" s="71">
        <f t="shared" si="41"/>
        <v>0</v>
      </c>
      <c r="AF16" s="68">
        <f t="shared" si="13"/>
        <v>759.206465</v>
      </c>
      <c r="AG16" s="71">
        <v>28.0</v>
      </c>
      <c r="AH16" s="71">
        <v>0.0</v>
      </c>
      <c r="AI16" s="68">
        <f t="shared" si="14"/>
        <v>28</v>
      </c>
      <c r="AJ16" s="71">
        <f t="shared" ref="AJ16:AK16" si="42">AG16/1.05506</f>
        <v>26.53877505</v>
      </c>
      <c r="AK16" s="71">
        <f t="shared" si="42"/>
        <v>0</v>
      </c>
      <c r="AL16" s="68">
        <f t="shared" si="16"/>
        <v>26.53877505</v>
      </c>
    </row>
    <row r="17" ht="14.25" customHeight="1">
      <c r="B17" s="69">
        <v>45722.0</v>
      </c>
      <c r="C17" s="70"/>
      <c r="D17" s="70"/>
      <c r="E17" s="68">
        <f t="shared" si="1"/>
        <v>0</v>
      </c>
      <c r="F17" s="71">
        <v>940.0</v>
      </c>
      <c r="G17" s="71">
        <v>0.0</v>
      </c>
      <c r="H17" s="68">
        <f t="shared" si="17"/>
        <v>940</v>
      </c>
      <c r="I17" s="73">
        <f t="shared" ref="I17:J17" si="43">F17*55000*0.35/1000/0.55</f>
        <v>32900</v>
      </c>
      <c r="J17" s="73">
        <f t="shared" si="43"/>
        <v>0</v>
      </c>
      <c r="K17" s="68">
        <f t="shared" si="19"/>
        <v>32900</v>
      </c>
      <c r="L17" s="71">
        <v>25487.0</v>
      </c>
      <c r="M17" s="71">
        <v>0.0</v>
      </c>
      <c r="N17" s="68">
        <f t="shared" si="3"/>
        <v>25487</v>
      </c>
      <c r="O17" s="71">
        <v>3327.3381294964033</v>
      </c>
      <c r="P17" s="71">
        <v>0.0</v>
      </c>
      <c r="Q17" s="68">
        <f t="shared" si="4"/>
        <v>3327.338129</v>
      </c>
      <c r="R17" s="71">
        <f t="shared" ref="R17:S17" si="44">L17-O17</f>
        <v>22159.66187</v>
      </c>
      <c r="S17" s="71">
        <f t="shared" si="44"/>
        <v>0</v>
      </c>
      <c r="T17" s="68">
        <f t="shared" si="6"/>
        <v>22159.66187</v>
      </c>
      <c r="U17" s="71">
        <f t="shared" ref="U17:V17" si="45">R17*0.55</f>
        <v>12187.81403</v>
      </c>
      <c r="V17" s="71">
        <f t="shared" si="45"/>
        <v>0</v>
      </c>
      <c r="W17" s="68">
        <f t="shared" si="8"/>
        <v>12187.81403</v>
      </c>
      <c r="X17" s="71">
        <f t="shared" ref="X17:Y17" si="46">U17/0.95</f>
        <v>12829.27793</v>
      </c>
      <c r="Y17" s="71">
        <f t="shared" si="46"/>
        <v>0</v>
      </c>
      <c r="Z17" s="68">
        <f t="shared" si="10"/>
        <v>12829.27793</v>
      </c>
      <c r="AA17" s="71">
        <v>3308.42</v>
      </c>
      <c r="AB17" s="71">
        <v>0.0</v>
      </c>
      <c r="AC17" s="68">
        <f t="shared" si="11"/>
        <v>3308.42</v>
      </c>
      <c r="AD17" s="71">
        <f t="shared" ref="AD17:AE17" si="47">AA17*0.95</f>
        <v>3142.999</v>
      </c>
      <c r="AE17" s="71">
        <f t="shared" si="47"/>
        <v>0</v>
      </c>
      <c r="AF17" s="68">
        <f t="shared" si="13"/>
        <v>3142.999</v>
      </c>
      <c r="AG17" s="71">
        <v>118.0</v>
      </c>
      <c r="AH17" s="71">
        <v>0.0</v>
      </c>
      <c r="AI17" s="68">
        <f t="shared" si="14"/>
        <v>118</v>
      </c>
      <c r="AJ17" s="71">
        <f t="shared" ref="AJ17:AK17" si="48">AG17/1.05506</f>
        <v>111.8419806</v>
      </c>
      <c r="AK17" s="71">
        <f t="shared" si="48"/>
        <v>0</v>
      </c>
      <c r="AL17" s="68">
        <f t="shared" si="16"/>
        <v>111.8419806</v>
      </c>
    </row>
    <row r="18" ht="14.25" customHeight="1">
      <c r="B18" s="69">
        <v>45723.0</v>
      </c>
      <c r="C18" s="70"/>
      <c r="D18" s="70"/>
      <c r="E18" s="68">
        <f t="shared" si="1"/>
        <v>0</v>
      </c>
      <c r="F18" s="71">
        <v>750.0</v>
      </c>
      <c r="G18" s="71">
        <v>0.0</v>
      </c>
      <c r="H18" s="68">
        <f t="shared" si="17"/>
        <v>750</v>
      </c>
      <c r="I18" s="73">
        <f t="shared" ref="I18:J18" si="49">F18*55000*0.35/1000/0.55</f>
        <v>26250</v>
      </c>
      <c r="J18" s="73">
        <f t="shared" si="49"/>
        <v>0</v>
      </c>
      <c r="K18" s="68">
        <f t="shared" si="19"/>
        <v>26250</v>
      </c>
      <c r="L18" s="71">
        <v>12260.0</v>
      </c>
      <c r="M18" s="71">
        <v>0.0</v>
      </c>
      <c r="N18" s="68">
        <f t="shared" si="3"/>
        <v>12260</v>
      </c>
      <c r="O18" s="71">
        <v>1283.453237410072</v>
      </c>
      <c r="P18" s="71">
        <v>0.0</v>
      </c>
      <c r="Q18" s="68">
        <f t="shared" si="4"/>
        <v>1283.453237</v>
      </c>
      <c r="R18" s="71">
        <f t="shared" ref="R18:S18" si="50">L18-O18</f>
        <v>10976.54676</v>
      </c>
      <c r="S18" s="71">
        <f t="shared" si="50"/>
        <v>0</v>
      </c>
      <c r="T18" s="68">
        <f t="shared" si="6"/>
        <v>10976.54676</v>
      </c>
      <c r="U18" s="71">
        <f t="shared" ref="U18:V18" si="51">R18*0.55</f>
        <v>6037.100719</v>
      </c>
      <c r="V18" s="71">
        <f t="shared" si="51"/>
        <v>0</v>
      </c>
      <c r="W18" s="68">
        <f t="shared" si="8"/>
        <v>6037.100719</v>
      </c>
      <c r="X18" s="71">
        <f t="shared" ref="X18:Y18" si="52">U18/0.95</f>
        <v>6354.842863</v>
      </c>
      <c r="Y18" s="71">
        <f t="shared" si="52"/>
        <v>0</v>
      </c>
      <c r="Z18" s="68">
        <f t="shared" si="10"/>
        <v>6354.842863</v>
      </c>
      <c r="AA18" s="71">
        <v>0.0</v>
      </c>
      <c r="AB18" s="71">
        <v>0.0</v>
      </c>
      <c r="AC18" s="68">
        <f t="shared" si="11"/>
        <v>0</v>
      </c>
      <c r="AD18" s="71">
        <f t="shared" ref="AD18:AE18" si="53">AA18*0.95</f>
        <v>0</v>
      </c>
      <c r="AE18" s="71">
        <f t="shared" si="53"/>
        <v>0</v>
      </c>
      <c r="AF18" s="68">
        <f t="shared" si="13"/>
        <v>0</v>
      </c>
      <c r="AG18" s="71">
        <v>0.0</v>
      </c>
      <c r="AH18" s="71">
        <v>0.0</v>
      </c>
      <c r="AI18" s="68">
        <f t="shared" si="14"/>
        <v>0</v>
      </c>
      <c r="AJ18" s="71">
        <f t="shared" ref="AJ18:AK18" si="54">AG18/1.05506</f>
        <v>0</v>
      </c>
      <c r="AK18" s="71">
        <f t="shared" si="54"/>
        <v>0</v>
      </c>
      <c r="AL18" s="68">
        <f t="shared" si="16"/>
        <v>0</v>
      </c>
    </row>
    <row r="19" ht="14.25" customHeight="1">
      <c r="B19" s="69">
        <v>45724.0</v>
      </c>
      <c r="C19" s="70"/>
      <c r="D19" s="70"/>
      <c r="E19" s="68">
        <f t="shared" si="1"/>
        <v>0</v>
      </c>
      <c r="F19" s="71">
        <v>971.0</v>
      </c>
      <c r="G19" s="71">
        <v>0.0</v>
      </c>
      <c r="H19" s="68">
        <f t="shared" si="17"/>
        <v>971</v>
      </c>
      <c r="I19" s="73">
        <f t="shared" ref="I19:J19" si="55">F19*55000*0.35/1000/0.55</f>
        <v>33985</v>
      </c>
      <c r="J19" s="73">
        <f t="shared" si="55"/>
        <v>0</v>
      </c>
      <c r="K19" s="68">
        <f t="shared" si="19"/>
        <v>33985</v>
      </c>
      <c r="L19" s="71">
        <v>10109.0</v>
      </c>
      <c r="M19" s="71">
        <v>0.0</v>
      </c>
      <c r="N19" s="68">
        <f t="shared" si="3"/>
        <v>10109</v>
      </c>
      <c r="O19" s="71">
        <v>1664.3884892086332</v>
      </c>
      <c r="P19" s="71">
        <v>0.0</v>
      </c>
      <c r="Q19" s="68">
        <f t="shared" si="4"/>
        <v>1664.388489</v>
      </c>
      <c r="R19" s="71">
        <f t="shared" ref="R19:S19" si="56">L19-O19</f>
        <v>8444.611511</v>
      </c>
      <c r="S19" s="71">
        <f t="shared" si="56"/>
        <v>0</v>
      </c>
      <c r="T19" s="68">
        <f t="shared" si="6"/>
        <v>8444.611511</v>
      </c>
      <c r="U19" s="71">
        <f t="shared" ref="U19:V19" si="57">R19*0.55</f>
        <v>4644.536331</v>
      </c>
      <c r="V19" s="71">
        <f t="shared" si="57"/>
        <v>0</v>
      </c>
      <c r="W19" s="68">
        <f t="shared" si="8"/>
        <v>4644.536331</v>
      </c>
      <c r="X19" s="71">
        <f t="shared" ref="X19:Y19" si="58">U19/0.95</f>
        <v>4888.985612</v>
      </c>
      <c r="Y19" s="71">
        <f t="shared" si="58"/>
        <v>0</v>
      </c>
      <c r="Z19" s="68">
        <f t="shared" si="10"/>
        <v>4888.985612</v>
      </c>
      <c r="AA19" s="71">
        <v>0.0</v>
      </c>
      <c r="AB19" s="71">
        <v>0.0</v>
      </c>
      <c r="AC19" s="68">
        <f t="shared" si="11"/>
        <v>0</v>
      </c>
      <c r="AD19" s="71">
        <f t="shared" ref="AD19:AE19" si="59">AA19*0.95</f>
        <v>0</v>
      </c>
      <c r="AE19" s="71">
        <f t="shared" si="59"/>
        <v>0</v>
      </c>
      <c r="AF19" s="68">
        <f t="shared" si="13"/>
        <v>0</v>
      </c>
      <c r="AG19" s="71">
        <v>0.0</v>
      </c>
      <c r="AH19" s="71">
        <v>0.0</v>
      </c>
      <c r="AI19" s="68">
        <f t="shared" si="14"/>
        <v>0</v>
      </c>
      <c r="AJ19" s="71">
        <f t="shared" ref="AJ19:AK19" si="60">AG19/1.05506</f>
        <v>0</v>
      </c>
      <c r="AK19" s="71">
        <f t="shared" si="60"/>
        <v>0</v>
      </c>
      <c r="AL19" s="68">
        <f t="shared" si="16"/>
        <v>0</v>
      </c>
    </row>
    <row r="20" ht="14.25" customHeight="1">
      <c r="B20" s="69">
        <v>45725.0</v>
      </c>
      <c r="C20" s="70"/>
      <c r="D20" s="70"/>
      <c r="E20" s="68">
        <f t="shared" si="1"/>
        <v>0</v>
      </c>
      <c r="F20" s="71">
        <v>164.0</v>
      </c>
      <c r="G20" s="71">
        <v>0.0</v>
      </c>
      <c r="H20" s="68">
        <f t="shared" si="17"/>
        <v>164</v>
      </c>
      <c r="I20" s="73">
        <f t="shared" ref="I20:J20" si="61">F20*55000*0.35/1000/0.55</f>
        <v>5740</v>
      </c>
      <c r="J20" s="73">
        <f t="shared" si="61"/>
        <v>0</v>
      </c>
      <c r="K20" s="68">
        <f t="shared" si="19"/>
        <v>5740</v>
      </c>
      <c r="L20" s="71">
        <v>14136.0</v>
      </c>
      <c r="M20" s="71">
        <v>0.0</v>
      </c>
      <c r="N20" s="68">
        <f t="shared" si="3"/>
        <v>14136</v>
      </c>
      <c r="O20" s="71">
        <v>1615.4676258992806</v>
      </c>
      <c r="P20" s="71">
        <v>0.0</v>
      </c>
      <c r="Q20" s="68">
        <f t="shared" si="4"/>
        <v>1615.467626</v>
      </c>
      <c r="R20" s="71">
        <f t="shared" ref="R20:S20" si="62">L20-O20</f>
        <v>12520.53237</v>
      </c>
      <c r="S20" s="71">
        <f t="shared" si="62"/>
        <v>0</v>
      </c>
      <c r="T20" s="68">
        <f t="shared" si="6"/>
        <v>12520.53237</v>
      </c>
      <c r="U20" s="71">
        <f t="shared" ref="U20:V20" si="63">R20*0.55</f>
        <v>6886.292806</v>
      </c>
      <c r="V20" s="71">
        <f t="shared" si="63"/>
        <v>0</v>
      </c>
      <c r="W20" s="68">
        <f t="shared" si="8"/>
        <v>6886.292806</v>
      </c>
      <c r="X20" s="71">
        <f t="shared" ref="X20:Y20" si="64">U20/0.95</f>
        <v>7248.729269</v>
      </c>
      <c r="Y20" s="71">
        <f t="shared" si="64"/>
        <v>0</v>
      </c>
      <c r="Z20" s="68">
        <f t="shared" si="10"/>
        <v>7248.729269</v>
      </c>
      <c r="AA20" s="71">
        <v>1772.4634</v>
      </c>
      <c r="AB20" s="71">
        <v>0.0</v>
      </c>
      <c r="AC20" s="68">
        <f t="shared" si="11"/>
        <v>1772.4634</v>
      </c>
      <c r="AD20" s="71">
        <f t="shared" ref="AD20:AE20" si="65">AA20*0.95</f>
        <v>1683.84023</v>
      </c>
      <c r="AE20" s="71">
        <f t="shared" si="65"/>
        <v>0</v>
      </c>
      <c r="AF20" s="68">
        <f t="shared" si="13"/>
        <v>1683.84023</v>
      </c>
      <c r="AG20" s="71">
        <v>63.0</v>
      </c>
      <c r="AH20" s="71">
        <v>0.0</v>
      </c>
      <c r="AI20" s="68">
        <f t="shared" si="14"/>
        <v>63</v>
      </c>
      <c r="AJ20" s="71">
        <f t="shared" ref="AJ20:AK20" si="66">AG20/1.05506</f>
        <v>59.71224385</v>
      </c>
      <c r="AK20" s="71">
        <f t="shared" si="66"/>
        <v>0</v>
      </c>
      <c r="AL20" s="68">
        <f t="shared" si="16"/>
        <v>59.71224385</v>
      </c>
    </row>
    <row r="21" ht="14.25" customHeight="1">
      <c r="B21" s="69">
        <v>45726.0</v>
      </c>
      <c r="C21" s="70"/>
      <c r="D21" s="70"/>
      <c r="E21" s="68">
        <f t="shared" si="1"/>
        <v>0</v>
      </c>
      <c r="F21" s="71">
        <v>1107.0</v>
      </c>
      <c r="G21" s="71">
        <v>0.0</v>
      </c>
      <c r="H21" s="68">
        <f t="shared" si="17"/>
        <v>1107</v>
      </c>
      <c r="I21" s="73">
        <f t="shared" ref="I21:J21" si="67">F21*55000*0.35/1000/0.55</f>
        <v>38745</v>
      </c>
      <c r="J21" s="73">
        <f t="shared" si="67"/>
        <v>0</v>
      </c>
      <c r="K21" s="68">
        <f t="shared" si="19"/>
        <v>38745</v>
      </c>
      <c r="L21" s="71">
        <v>21523.0</v>
      </c>
      <c r="M21" s="71">
        <v>0.0</v>
      </c>
      <c r="N21" s="68">
        <f t="shared" si="3"/>
        <v>21523</v>
      </c>
      <c r="O21" s="71">
        <v>3048.9208633093526</v>
      </c>
      <c r="P21" s="71">
        <v>0.0</v>
      </c>
      <c r="Q21" s="68">
        <f t="shared" si="4"/>
        <v>3048.920863</v>
      </c>
      <c r="R21" s="71">
        <f t="shared" ref="R21:S21" si="68">L21-O21</f>
        <v>18474.07914</v>
      </c>
      <c r="S21" s="71">
        <f t="shared" si="68"/>
        <v>0</v>
      </c>
      <c r="T21" s="68">
        <f t="shared" si="6"/>
        <v>18474.07914</v>
      </c>
      <c r="U21" s="71">
        <f t="shared" ref="U21:V21" si="69">R21*0.55</f>
        <v>10160.74353</v>
      </c>
      <c r="V21" s="71">
        <f t="shared" si="69"/>
        <v>0</v>
      </c>
      <c r="W21" s="68">
        <f t="shared" si="8"/>
        <v>10160.74353</v>
      </c>
      <c r="X21" s="71">
        <f t="shared" ref="X21:Y21" si="70">U21/0.95</f>
        <v>10695.5195</v>
      </c>
      <c r="Y21" s="71">
        <f t="shared" si="70"/>
        <v>0</v>
      </c>
      <c r="Z21" s="68">
        <f t="shared" si="10"/>
        <v>10695.5195</v>
      </c>
      <c r="AA21" s="71">
        <v>3879.2893</v>
      </c>
      <c r="AB21" s="71">
        <v>0.0</v>
      </c>
      <c r="AC21" s="68">
        <f t="shared" si="11"/>
        <v>3879.2893</v>
      </c>
      <c r="AD21" s="71">
        <f t="shared" ref="AD21:AE21" si="71">AA21*0.95</f>
        <v>3685.324835</v>
      </c>
      <c r="AE21" s="71">
        <f t="shared" si="71"/>
        <v>0</v>
      </c>
      <c r="AF21" s="68">
        <f t="shared" si="13"/>
        <v>3685.324835</v>
      </c>
      <c r="AG21" s="71">
        <v>139.0</v>
      </c>
      <c r="AH21" s="71">
        <v>0.0</v>
      </c>
      <c r="AI21" s="68">
        <f t="shared" si="14"/>
        <v>139</v>
      </c>
      <c r="AJ21" s="71">
        <f t="shared" ref="AJ21:AK21" si="72">AG21/1.05506</f>
        <v>131.7460618</v>
      </c>
      <c r="AK21" s="71">
        <f t="shared" si="72"/>
        <v>0</v>
      </c>
      <c r="AL21" s="68">
        <f t="shared" si="16"/>
        <v>131.7460618</v>
      </c>
    </row>
    <row r="22" ht="14.25" customHeight="1">
      <c r="B22" s="69">
        <v>45727.0</v>
      </c>
      <c r="C22" s="70"/>
      <c r="D22" s="70"/>
      <c r="E22" s="68">
        <f t="shared" si="1"/>
        <v>0</v>
      </c>
      <c r="F22" s="71">
        <v>998.0</v>
      </c>
      <c r="G22" s="71">
        <v>0.0</v>
      </c>
      <c r="H22" s="68">
        <f t="shared" si="17"/>
        <v>998</v>
      </c>
      <c r="I22" s="73">
        <f t="shared" ref="I22:J22" si="73">F22*55000*0.35/1000/0.55</f>
        <v>34930</v>
      </c>
      <c r="J22" s="73">
        <f t="shared" si="73"/>
        <v>0</v>
      </c>
      <c r="K22" s="68">
        <f t="shared" si="19"/>
        <v>34930</v>
      </c>
      <c r="L22" s="71">
        <v>21494.0</v>
      </c>
      <c r="M22" s="71">
        <v>0.0</v>
      </c>
      <c r="N22" s="68">
        <f t="shared" si="3"/>
        <v>21494</v>
      </c>
      <c r="O22" s="71">
        <v>2510.4316546762593</v>
      </c>
      <c r="P22" s="71">
        <v>0.0</v>
      </c>
      <c r="Q22" s="68">
        <f t="shared" si="4"/>
        <v>2510.431655</v>
      </c>
      <c r="R22" s="71">
        <f t="shared" ref="R22:S22" si="74">L22-O22</f>
        <v>18983.56835</v>
      </c>
      <c r="S22" s="71">
        <f t="shared" si="74"/>
        <v>0</v>
      </c>
      <c r="T22" s="68">
        <f t="shared" si="6"/>
        <v>18983.56835</v>
      </c>
      <c r="U22" s="71">
        <f t="shared" ref="U22:V22" si="75">R22*0.55</f>
        <v>10440.96259</v>
      </c>
      <c r="V22" s="71">
        <f t="shared" si="75"/>
        <v>0</v>
      </c>
      <c r="W22" s="68">
        <f t="shared" si="8"/>
        <v>10440.96259</v>
      </c>
      <c r="X22" s="71">
        <f t="shared" ref="X22:Y22" si="76">U22/0.95</f>
        <v>10990.48694</v>
      </c>
      <c r="Y22" s="71">
        <f t="shared" si="76"/>
        <v>0</v>
      </c>
      <c r="Z22" s="68">
        <f t="shared" si="10"/>
        <v>10990.48694</v>
      </c>
      <c r="AA22" s="71">
        <v>853.1008</v>
      </c>
      <c r="AB22" s="71">
        <v>0.0</v>
      </c>
      <c r="AC22" s="68">
        <f t="shared" si="11"/>
        <v>853.1008</v>
      </c>
      <c r="AD22" s="71">
        <f t="shared" ref="AD22:AE22" si="77">AA22*0.95</f>
        <v>810.44576</v>
      </c>
      <c r="AE22" s="71">
        <f t="shared" si="77"/>
        <v>0</v>
      </c>
      <c r="AF22" s="68">
        <f t="shared" si="13"/>
        <v>810.44576</v>
      </c>
      <c r="AG22" s="71">
        <v>31.0</v>
      </c>
      <c r="AH22" s="71">
        <v>0.0</v>
      </c>
      <c r="AI22" s="68">
        <f t="shared" si="14"/>
        <v>31</v>
      </c>
      <c r="AJ22" s="71">
        <f t="shared" ref="AJ22:AK22" si="78">AG22/1.05506</f>
        <v>29.38221523</v>
      </c>
      <c r="AK22" s="71">
        <f t="shared" si="78"/>
        <v>0</v>
      </c>
      <c r="AL22" s="68">
        <f t="shared" si="16"/>
        <v>29.38221523</v>
      </c>
    </row>
    <row r="23" ht="14.25" customHeight="1">
      <c r="B23" s="69">
        <v>45728.0</v>
      </c>
      <c r="C23" s="70"/>
      <c r="D23" s="70"/>
      <c r="E23" s="68">
        <f t="shared" si="1"/>
        <v>0</v>
      </c>
      <c r="F23" s="71">
        <v>806.0</v>
      </c>
      <c r="G23" s="71">
        <v>0.0</v>
      </c>
      <c r="H23" s="68">
        <f t="shared" si="17"/>
        <v>806</v>
      </c>
      <c r="I23" s="73">
        <f t="shared" ref="I23:J23" si="79">F23*55000*0.35/1000/0.55</f>
        <v>28210</v>
      </c>
      <c r="J23" s="73">
        <f t="shared" si="79"/>
        <v>0</v>
      </c>
      <c r="K23" s="68">
        <f t="shared" si="19"/>
        <v>28210</v>
      </c>
      <c r="L23" s="71">
        <v>13330.0</v>
      </c>
      <c r="M23" s="71">
        <v>0.0</v>
      </c>
      <c r="N23" s="68">
        <f t="shared" si="3"/>
        <v>13330</v>
      </c>
      <c r="O23" s="71">
        <v>1796.043165467626</v>
      </c>
      <c r="P23" s="71">
        <v>0.0</v>
      </c>
      <c r="Q23" s="68">
        <f t="shared" si="4"/>
        <v>1796.043165</v>
      </c>
      <c r="R23" s="71">
        <f t="shared" ref="R23:S23" si="80">L23-O23</f>
        <v>11533.95683</v>
      </c>
      <c r="S23" s="71">
        <f t="shared" si="80"/>
        <v>0</v>
      </c>
      <c r="T23" s="68">
        <f t="shared" si="6"/>
        <v>11533.95683</v>
      </c>
      <c r="U23" s="71">
        <f t="shared" ref="U23:V23" si="81">R23*0.55</f>
        <v>6343.676259</v>
      </c>
      <c r="V23" s="71">
        <f t="shared" si="81"/>
        <v>0</v>
      </c>
      <c r="W23" s="68">
        <f t="shared" si="8"/>
        <v>6343.676259</v>
      </c>
      <c r="X23" s="71">
        <f t="shared" ref="X23:Y23" si="82">U23/0.95</f>
        <v>6677.553957</v>
      </c>
      <c r="Y23" s="71">
        <f t="shared" si="82"/>
        <v>0</v>
      </c>
      <c r="Z23" s="68">
        <f t="shared" si="10"/>
        <v>6677.553957</v>
      </c>
      <c r="AA23" s="71">
        <v>1897.9953</v>
      </c>
      <c r="AB23" s="71">
        <v>0.0</v>
      </c>
      <c r="AC23" s="68">
        <f t="shared" si="11"/>
        <v>1897.9953</v>
      </c>
      <c r="AD23" s="71">
        <f t="shared" ref="AD23:AE23" si="83">AA23*0.95</f>
        <v>1803.095535</v>
      </c>
      <c r="AE23" s="71">
        <f t="shared" si="83"/>
        <v>0</v>
      </c>
      <c r="AF23" s="68">
        <f t="shared" si="13"/>
        <v>1803.095535</v>
      </c>
      <c r="AG23" s="71">
        <v>68.0</v>
      </c>
      <c r="AH23" s="71">
        <v>0.0</v>
      </c>
      <c r="AI23" s="68">
        <f t="shared" si="14"/>
        <v>68</v>
      </c>
      <c r="AJ23" s="71">
        <f t="shared" ref="AJ23:AK23" si="84">AG23/1.05506</f>
        <v>64.45131083</v>
      </c>
      <c r="AK23" s="71">
        <f t="shared" si="84"/>
        <v>0</v>
      </c>
      <c r="AL23" s="68">
        <f t="shared" si="16"/>
        <v>64.45131083</v>
      </c>
    </row>
    <row r="24" ht="14.25" customHeight="1">
      <c r="B24" s="69">
        <v>45729.0</v>
      </c>
      <c r="C24" s="70"/>
      <c r="D24" s="70"/>
      <c r="E24" s="68">
        <f t="shared" si="1"/>
        <v>0</v>
      </c>
      <c r="F24" s="71">
        <v>810.0</v>
      </c>
      <c r="G24" s="71">
        <v>0.0</v>
      </c>
      <c r="H24" s="68">
        <f t="shared" si="17"/>
        <v>810</v>
      </c>
      <c r="I24" s="73">
        <f t="shared" ref="I24:J24" si="85">F24*55000*0.35/1000/0.55</f>
        <v>28350</v>
      </c>
      <c r="J24" s="73">
        <f t="shared" si="85"/>
        <v>0</v>
      </c>
      <c r="K24" s="68">
        <f t="shared" si="19"/>
        <v>28350</v>
      </c>
      <c r="L24" s="71">
        <v>21072.0</v>
      </c>
      <c r="M24" s="71">
        <v>0.0</v>
      </c>
      <c r="N24" s="68">
        <f t="shared" si="3"/>
        <v>21072</v>
      </c>
      <c r="O24" s="71">
        <v>3159.7122302158277</v>
      </c>
      <c r="P24" s="71">
        <v>0.0</v>
      </c>
      <c r="Q24" s="68">
        <f t="shared" si="4"/>
        <v>3159.71223</v>
      </c>
      <c r="R24" s="71">
        <f t="shared" ref="R24:S24" si="86">L24-O24</f>
        <v>17912.28777</v>
      </c>
      <c r="S24" s="71">
        <f t="shared" si="86"/>
        <v>0</v>
      </c>
      <c r="T24" s="68">
        <f t="shared" si="6"/>
        <v>17912.28777</v>
      </c>
      <c r="U24" s="71">
        <f t="shared" ref="U24:V24" si="87">R24*0.55</f>
        <v>9851.758273</v>
      </c>
      <c r="V24" s="71">
        <f t="shared" si="87"/>
        <v>0</v>
      </c>
      <c r="W24" s="68">
        <f t="shared" si="8"/>
        <v>9851.758273</v>
      </c>
      <c r="X24" s="71">
        <f t="shared" ref="X24:Y24" si="88">U24/0.95</f>
        <v>10370.27187</v>
      </c>
      <c r="Y24" s="71">
        <f t="shared" si="88"/>
        <v>0</v>
      </c>
      <c r="Z24" s="68">
        <f t="shared" si="10"/>
        <v>10370.27187</v>
      </c>
      <c r="AA24" s="71">
        <v>4109.9273</v>
      </c>
      <c r="AB24" s="71">
        <v>0.0</v>
      </c>
      <c r="AC24" s="68">
        <f t="shared" si="11"/>
        <v>4109.9273</v>
      </c>
      <c r="AD24" s="71">
        <f t="shared" ref="AD24:AE24" si="89">AA24*0.95</f>
        <v>3904.430935</v>
      </c>
      <c r="AE24" s="71">
        <f t="shared" si="89"/>
        <v>0</v>
      </c>
      <c r="AF24" s="68">
        <f t="shared" si="13"/>
        <v>3904.430935</v>
      </c>
      <c r="AG24" s="71">
        <v>147.0</v>
      </c>
      <c r="AH24" s="71">
        <v>0.0</v>
      </c>
      <c r="AI24" s="68">
        <f t="shared" si="14"/>
        <v>147</v>
      </c>
      <c r="AJ24" s="71">
        <f t="shared" ref="AJ24:AK24" si="90">AG24/1.05506</f>
        <v>139.328569</v>
      </c>
      <c r="AK24" s="71">
        <f t="shared" si="90"/>
        <v>0</v>
      </c>
      <c r="AL24" s="68">
        <f t="shared" si="16"/>
        <v>139.328569</v>
      </c>
    </row>
    <row r="25" ht="14.25" customHeight="1">
      <c r="B25" s="69">
        <v>45730.0</v>
      </c>
      <c r="C25" s="70"/>
      <c r="D25" s="70"/>
      <c r="E25" s="68">
        <f t="shared" si="1"/>
        <v>0</v>
      </c>
      <c r="F25" s="71">
        <v>1220.0</v>
      </c>
      <c r="G25" s="71">
        <v>0.0</v>
      </c>
      <c r="H25" s="68">
        <f t="shared" si="17"/>
        <v>1220</v>
      </c>
      <c r="I25" s="73">
        <f t="shared" ref="I25:J25" si="91">F25*55000*0.35/1000/0.55</f>
        <v>42700</v>
      </c>
      <c r="J25" s="73">
        <f t="shared" si="91"/>
        <v>0</v>
      </c>
      <c r="K25" s="68">
        <f t="shared" si="19"/>
        <v>42700</v>
      </c>
      <c r="L25" s="71">
        <v>25289.0</v>
      </c>
      <c r="M25" s="71">
        <v>0.0</v>
      </c>
      <c r="N25" s="68">
        <f t="shared" si="3"/>
        <v>25289</v>
      </c>
      <c r="O25" s="71">
        <v>3206.834532374101</v>
      </c>
      <c r="P25" s="71">
        <v>0.0</v>
      </c>
      <c r="Q25" s="68">
        <f t="shared" si="4"/>
        <v>3206.834532</v>
      </c>
      <c r="R25" s="71">
        <f t="shared" ref="R25:S25" si="92">L25-O25</f>
        <v>22082.16547</v>
      </c>
      <c r="S25" s="71">
        <f t="shared" si="92"/>
        <v>0</v>
      </c>
      <c r="T25" s="68">
        <f t="shared" si="6"/>
        <v>22082.16547</v>
      </c>
      <c r="U25" s="71">
        <f t="shared" ref="U25:V25" si="93">R25*0.55</f>
        <v>12145.19101</v>
      </c>
      <c r="V25" s="71">
        <f t="shared" si="93"/>
        <v>0</v>
      </c>
      <c r="W25" s="68">
        <f t="shared" si="8"/>
        <v>12145.19101</v>
      </c>
      <c r="X25" s="71">
        <f t="shared" ref="X25:Y25" si="94">U25/0.95</f>
        <v>12784.41159</v>
      </c>
      <c r="Y25" s="71">
        <f t="shared" si="94"/>
        <v>0</v>
      </c>
      <c r="Z25" s="68">
        <f t="shared" si="10"/>
        <v>12784.41159</v>
      </c>
      <c r="AA25" s="71">
        <v>3373.188</v>
      </c>
      <c r="AB25" s="71">
        <v>0.0</v>
      </c>
      <c r="AC25" s="68">
        <f t="shared" si="11"/>
        <v>3373.188</v>
      </c>
      <c r="AD25" s="71">
        <f t="shared" ref="AD25:AE25" si="95">AA25*0.95</f>
        <v>3204.5286</v>
      </c>
      <c r="AE25" s="71">
        <f t="shared" si="95"/>
        <v>0</v>
      </c>
      <c r="AF25" s="68">
        <f t="shared" si="13"/>
        <v>3204.5286</v>
      </c>
      <c r="AG25" s="71">
        <v>121.0</v>
      </c>
      <c r="AH25" s="71">
        <v>0.0</v>
      </c>
      <c r="AI25" s="68">
        <f t="shared" si="14"/>
        <v>121</v>
      </c>
      <c r="AJ25" s="71">
        <f t="shared" ref="AJ25:AK25" si="96">AG25/1.05506</f>
        <v>114.6854207</v>
      </c>
      <c r="AK25" s="71">
        <f t="shared" si="96"/>
        <v>0</v>
      </c>
      <c r="AL25" s="68">
        <f t="shared" si="16"/>
        <v>114.6854207</v>
      </c>
    </row>
    <row r="26" ht="14.25" customHeight="1">
      <c r="B26" s="69">
        <v>45731.0</v>
      </c>
      <c r="C26" s="70"/>
      <c r="D26" s="70"/>
      <c r="E26" s="68">
        <f t="shared" si="1"/>
        <v>0</v>
      </c>
      <c r="F26" s="71">
        <v>885.0</v>
      </c>
      <c r="G26" s="71">
        <v>0.0</v>
      </c>
      <c r="H26" s="68">
        <f t="shared" si="17"/>
        <v>885</v>
      </c>
      <c r="I26" s="73">
        <f t="shared" ref="I26:J26" si="97">F26*55000*0.35/1000/0.55</f>
        <v>30975</v>
      </c>
      <c r="J26" s="73">
        <f t="shared" si="97"/>
        <v>0</v>
      </c>
      <c r="K26" s="68">
        <f t="shared" si="19"/>
        <v>30975</v>
      </c>
      <c r="L26" s="71">
        <v>23051.0</v>
      </c>
      <c r="M26" s="71">
        <v>0.0</v>
      </c>
      <c r="N26" s="68">
        <f t="shared" si="3"/>
        <v>23051</v>
      </c>
      <c r="O26" s="71">
        <v>3183.0935251798564</v>
      </c>
      <c r="P26" s="71">
        <v>0.0</v>
      </c>
      <c r="Q26" s="68">
        <f t="shared" si="4"/>
        <v>3183.093525</v>
      </c>
      <c r="R26" s="71">
        <f t="shared" ref="R26:S26" si="98">L26-O26</f>
        <v>19867.90647</v>
      </c>
      <c r="S26" s="71">
        <f t="shared" si="98"/>
        <v>0</v>
      </c>
      <c r="T26" s="68">
        <f t="shared" si="6"/>
        <v>19867.90647</v>
      </c>
      <c r="U26" s="71">
        <f t="shared" ref="U26:V26" si="99">R26*0.55</f>
        <v>10927.34856</v>
      </c>
      <c r="V26" s="71">
        <f t="shared" si="99"/>
        <v>0</v>
      </c>
      <c r="W26" s="68">
        <f t="shared" si="8"/>
        <v>10927.34856</v>
      </c>
      <c r="X26" s="71">
        <f t="shared" ref="X26:Y26" si="100">U26/0.95</f>
        <v>11502.47217</v>
      </c>
      <c r="Y26" s="71">
        <f t="shared" si="100"/>
        <v>0</v>
      </c>
      <c r="Z26" s="68">
        <f t="shared" si="10"/>
        <v>11502.47217</v>
      </c>
      <c r="AA26" s="71">
        <v>3683.112</v>
      </c>
      <c r="AB26" s="71">
        <v>0.0</v>
      </c>
      <c r="AC26" s="68">
        <f t="shared" si="11"/>
        <v>3683.112</v>
      </c>
      <c r="AD26" s="71">
        <f t="shared" ref="AD26:AE26" si="101">AA26*0.95</f>
        <v>3498.9564</v>
      </c>
      <c r="AE26" s="71">
        <f t="shared" si="101"/>
        <v>0</v>
      </c>
      <c r="AF26" s="68">
        <f t="shared" si="13"/>
        <v>3498.9564</v>
      </c>
      <c r="AG26" s="71">
        <v>132.0</v>
      </c>
      <c r="AH26" s="71">
        <v>0.0</v>
      </c>
      <c r="AI26" s="68">
        <f t="shared" si="14"/>
        <v>132</v>
      </c>
      <c r="AJ26" s="71">
        <f t="shared" ref="AJ26:AK26" si="102">AG26/1.05506</f>
        <v>125.1113681</v>
      </c>
      <c r="AK26" s="71">
        <f t="shared" si="102"/>
        <v>0</v>
      </c>
      <c r="AL26" s="68">
        <f t="shared" si="16"/>
        <v>125.1113681</v>
      </c>
    </row>
    <row r="27" ht="14.25" customHeight="1">
      <c r="B27" s="69">
        <v>45732.0</v>
      </c>
      <c r="C27" s="70"/>
      <c r="D27" s="70"/>
      <c r="E27" s="68">
        <f t="shared" si="1"/>
        <v>0</v>
      </c>
      <c r="F27" s="71">
        <v>1083.0</v>
      </c>
      <c r="G27" s="71">
        <v>0.0</v>
      </c>
      <c r="H27" s="68">
        <f t="shared" si="17"/>
        <v>1083</v>
      </c>
      <c r="I27" s="73">
        <f t="shared" ref="I27:J27" si="103">F27*55000*0.35/1000/0.55</f>
        <v>37905</v>
      </c>
      <c r="J27" s="73">
        <f t="shared" si="103"/>
        <v>0</v>
      </c>
      <c r="K27" s="68">
        <f t="shared" si="19"/>
        <v>37905</v>
      </c>
      <c r="L27" s="71">
        <v>26596.0</v>
      </c>
      <c r="M27" s="71">
        <v>0.0</v>
      </c>
      <c r="N27" s="68">
        <f t="shared" si="3"/>
        <v>26596</v>
      </c>
      <c r="O27" s="71">
        <v>3216.546762589928</v>
      </c>
      <c r="P27" s="71">
        <v>0.0</v>
      </c>
      <c r="Q27" s="68">
        <f t="shared" si="4"/>
        <v>3216.546763</v>
      </c>
      <c r="R27" s="71">
        <f t="shared" ref="R27:S27" si="104">L27-O27</f>
        <v>23379.45324</v>
      </c>
      <c r="S27" s="71">
        <f t="shared" si="104"/>
        <v>0</v>
      </c>
      <c r="T27" s="68">
        <f t="shared" si="6"/>
        <v>23379.45324</v>
      </c>
      <c r="U27" s="71">
        <f t="shared" ref="U27:V27" si="105">R27*0.55</f>
        <v>12858.69928</v>
      </c>
      <c r="V27" s="71">
        <f t="shared" si="105"/>
        <v>0</v>
      </c>
      <c r="W27" s="68">
        <f t="shared" si="8"/>
        <v>12858.69928</v>
      </c>
      <c r="X27" s="71">
        <f t="shared" ref="X27:Y27" si="106">U27/0.95</f>
        <v>13535.47293</v>
      </c>
      <c r="Y27" s="71">
        <f t="shared" si="106"/>
        <v>0</v>
      </c>
      <c r="Z27" s="68">
        <f t="shared" si="10"/>
        <v>13535.47293</v>
      </c>
      <c r="AA27" s="71">
        <v>4511.8876</v>
      </c>
      <c r="AB27" s="71">
        <v>0.0</v>
      </c>
      <c r="AC27" s="68">
        <f t="shared" si="11"/>
        <v>4511.8876</v>
      </c>
      <c r="AD27" s="71">
        <f t="shared" ref="AD27:AE27" si="107">AA27*0.95</f>
        <v>4286.29322</v>
      </c>
      <c r="AE27" s="71">
        <f t="shared" si="107"/>
        <v>0</v>
      </c>
      <c r="AF27" s="68">
        <f t="shared" si="13"/>
        <v>4286.29322</v>
      </c>
      <c r="AG27" s="71">
        <v>162.0</v>
      </c>
      <c r="AH27" s="71">
        <v>0.0</v>
      </c>
      <c r="AI27" s="68">
        <f t="shared" si="14"/>
        <v>162</v>
      </c>
      <c r="AJ27" s="71">
        <f t="shared" ref="AJ27:AK27" si="108">AG27/1.05506</f>
        <v>153.5457699</v>
      </c>
      <c r="AK27" s="71">
        <f t="shared" si="108"/>
        <v>0</v>
      </c>
      <c r="AL27" s="68">
        <f t="shared" si="16"/>
        <v>153.5457699</v>
      </c>
    </row>
    <row r="28" ht="14.25" customHeight="1">
      <c r="B28" s="69">
        <v>45733.0</v>
      </c>
      <c r="C28" s="70"/>
      <c r="D28" s="70"/>
      <c r="E28" s="68">
        <f t="shared" si="1"/>
        <v>0</v>
      </c>
      <c r="F28" s="71">
        <v>1213.0</v>
      </c>
      <c r="G28" s="71">
        <v>0.0</v>
      </c>
      <c r="H28" s="68">
        <f t="shared" si="17"/>
        <v>1213</v>
      </c>
      <c r="I28" s="73">
        <f t="shared" ref="I28:J28" si="109">F28*55000*0.35/1000/0.55</f>
        <v>42455</v>
      </c>
      <c r="J28" s="73">
        <f t="shared" si="109"/>
        <v>0</v>
      </c>
      <c r="K28" s="68">
        <f t="shared" si="19"/>
        <v>42455</v>
      </c>
      <c r="L28" s="71">
        <v>26710.0</v>
      </c>
      <c r="M28" s="71">
        <v>0.0</v>
      </c>
      <c r="N28" s="68">
        <f t="shared" si="3"/>
        <v>26710</v>
      </c>
      <c r="O28" s="71">
        <v>3201.7985611510794</v>
      </c>
      <c r="P28" s="71">
        <v>0.0</v>
      </c>
      <c r="Q28" s="68">
        <f t="shared" si="4"/>
        <v>3201.798561</v>
      </c>
      <c r="R28" s="71">
        <f t="shared" ref="R28:S28" si="110">L28-O28</f>
        <v>23508.20144</v>
      </c>
      <c r="S28" s="71">
        <f t="shared" si="110"/>
        <v>0</v>
      </c>
      <c r="T28" s="68">
        <f t="shared" si="6"/>
        <v>23508.20144</v>
      </c>
      <c r="U28" s="71">
        <f t="shared" ref="U28:V28" si="111">R28*0.55</f>
        <v>12929.51079</v>
      </c>
      <c r="V28" s="71">
        <f t="shared" si="111"/>
        <v>0</v>
      </c>
      <c r="W28" s="68">
        <f t="shared" si="8"/>
        <v>12929.51079</v>
      </c>
      <c r="X28" s="71">
        <f t="shared" ref="X28:Y28" si="112">U28/0.95</f>
        <v>13610.01136</v>
      </c>
      <c r="Y28" s="71">
        <f t="shared" si="112"/>
        <v>0</v>
      </c>
      <c r="Z28" s="68">
        <f t="shared" si="10"/>
        <v>13610.01136</v>
      </c>
      <c r="AA28" s="71">
        <v>4444.6311</v>
      </c>
      <c r="AB28" s="71">
        <v>0.0</v>
      </c>
      <c r="AC28" s="68">
        <f t="shared" si="11"/>
        <v>4444.6311</v>
      </c>
      <c r="AD28" s="71">
        <f t="shared" ref="AD28:AE28" si="113">AA28*0.95</f>
        <v>4222.399545</v>
      </c>
      <c r="AE28" s="71">
        <f t="shared" si="113"/>
        <v>0</v>
      </c>
      <c r="AF28" s="68">
        <f t="shared" si="13"/>
        <v>4222.399545</v>
      </c>
      <c r="AG28" s="71">
        <v>158.0</v>
      </c>
      <c r="AH28" s="71">
        <v>0.0</v>
      </c>
      <c r="AI28" s="68">
        <f t="shared" si="14"/>
        <v>158</v>
      </c>
      <c r="AJ28" s="71">
        <f t="shared" ref="AJ28:AK28" si="114">AG28/1.05506</f>
        <v>149.7545163</v>
      </c>
      <c r="AK28" s="71">
        <f t="shared" si="114"/>
        <v>0</v>
      </c>
      <c r="AL28" s="68">
        <f t="shared" si="16"/>
        <v>149.7545163</v>
      </c>
    </row>
    <row r="29" ht="14.25" customHeight="1">
      <c r="B29" s="69">
        <v>45734.0</v>
      </c>
      <c r="C29" s="70"/>
      <c r="D29" s="70"/>
      <c r="E29" s="68">
        <f t="shared" si="1"/>
        <v>0</v>
      </c>
      <c r="F29" s="71">
        <v>1295.0</v>
      </c>
      <c r="G29" s="71">
        <v>0.0</v>
      </c>
      <c r="H29" s="68">
        <f t="shared" si="17"/>
        <v>1295</v>
      </c>
      <c r="I29" s="73">
        <f t="shared" ref="I29:J29" si="115">F29*55000*0.35/1000/0.55</f>
        <v>45325</v>
      </c>
      <c r="J29" s="73">
        <f t="shared" si="115"/>
        <v>0</v>
      </c>
      <c r="K29" s="68">
        <f t="shared" si="19"/>
        <v>45325</v>
      </c>
      <c r="L29" s="71">
        <v>26184.0</v>
      </c>
      <c r="M29" s="71">
        <v>0.0</v>
      </c>
      <c r="N29" s="68">
        <f t="shared" si="3"/>
        <v>26184</v>
      </c>
      <c r="O29" s="71">
        <v>3150.3597122302162</v>
      </c>
      <c r="P29" s="71">
        <v>0.0</v>
      </c>
      <c r="Q29" s="68">
        <f t="shared" si="4"/>
        <v>3150.359712</v>
      </c>
      <c r="R29" s="71">
        <f t="shared" ref="R29:S29" si="116">L29-O29</f>
        <v>23033.64029</v>
      </c>
      <c r="S29" s="71">
        <f t="shared" si="116"/>
        <v>0</v>
      </c>
      <c r="T29" s="68">
        <f t="shared" si="6"/>
        <v>23033.64029</v>
      </c>
      <c r="U29" s="71">
        <f t="shared" ref="U29:V29" si="117">R29*0.55</f>
        <v>12668.50216</v>
      </c>
      <c r="V29" s="71">
        <f t="shared" si="117"/>
        <v>0</v>
      </c>
      <c r="W29" s="68">
        <f t="shared" si="8"/>
        <v>12668.50216</v>
      </c>
      <c r="X29" s="71">
        <f t="shared" ref="X29:Y29" si="118">U29/0.95</f>
        <v>13335.26543</v>
      </c>
      <c r="Y29" s="71">
        <f t="shared" si="118"/>
        <v>0</v>
      </c>
      <c r="Z29" s="68">
        <f t="shared" si="10"/>
        <v>13335.26543</v>
      </c>
      <c r="AA29" s="71">
        <v>4838.5189</v>
      </c>
      <c r="AB29" s="71">
        <v>0.0</v>
      </c>
      <c r="AC29" s="68">
        <f t="shared" si="11"/>
        <v>4838.5189</v>
      </c>
      <c r="AD29" s="71">
        <f t="shared" ref="AD29:AE29" si="119">AA29*0.95</f>
        <v>4596.592955</v>
      </c>
      <c r="AE29" s="71">
        <f t="shared" si="119"/>
        <v>0</v>
      </c>
      <c r="AF29" s="68">
        <f t="shared" si="13"/>
        <v>4596.592955</v>
      </c>
      <c r="AG29" s="71">
        <v>174.0</v>
      </c>
      <c r="AH29" s="71">
        <v>0.0</v>
      </c>
      <c r="AI29" s="68">
        <f t="shared" si="14"/>
        <v>174</v>
      </c>
      <c r="AJ29" s="71">
        <f t="shared" ref="AJ29:AK29" si="120">AG29/1.05506</f>
        <v>164.9195306</v>
      </c>
      <c r="AK29" s="71">
        <f t="shared" si="120"/>
        <v>0</v>
      </c>
      <c r="AL29" s="68">
        <f t="shared" si="16"/>
        <v>164.9195306</v>
      </c>
    </row>
    <row r="30" ht="14.25" customHeight="1">
      <c r="B30" s="69">
        <v>45735.0</v>
      </c>
      <c r="C30" s="70"/>
      <c r="D30" s="70"/>
      <c r="E30" s="68">
        <f t="shared" si="1"/>
        <v>0</v>
      </c>
      <c r="F30" s="71">
        <v>1740.0</v>
      </c>
      <c r="G30" s="71">
        <v>0.0</v>
      </c>
      <c r="H30" s="68">
        <f t="shared" si="17"/>
        <v>1740</v>
      </c>
      <c r="I30" s="73">
        <f t="shared" ref="I30:J30" si="121">F30*55000*0.35/1000/0.55</f>
        <v>60900</v>
      </c>
      <c r="J30" s="73">
        <f t="shared" si="121"/>
        <v>0</v>
      </c>
      <c r="K30" s="68">
        <f t="shared" si="19"/>
        <v>60900</v>
      </c>
      <c r="L30" s="71">
        <v>26801.0</v>
      </c>
      <c r="M30" s="71">
        <v>0.0</v>
      </c>
      <c r="N30" s="68">
        <f t="shared" si="3"/>
        <v>26801</v>
      </c>
      <c r="O30" s="71">
        <v>3089.568345323741</v>
      </c>
      <c r="P30" s="71">
        <v>0.0</v>
      </c>
      <c r="Q30" s="68">
        <f t="shared" si="4"/>
        <v>3089.568345</v>
      </c>
      <c r="R30" s="71">
        <f t="shared" ref="R30:S30" si="122">L30-O30</f>
        <v>23711.43165</v>
      </c>
      <c r="S30" s="71">
        <f t="shared" si="122"/>
        <v>0</v>
      </c>
      <c r="T30" s="68">
        <f t="shared" si="6"/>
        <v>23711.43165</v>
      </c>
      <c r="U30" s="71">
        <f t="shared" ref="U30:V30" si="123">R30*0.55</f>
        <v>13041.28741</v>
      </c>
      <c r="V30" s="71">
        <f t="shared" si="123"/>
        <v>0</v>
      </c>
      <c r="W30" s="68">
        <f t="shared" si="8"/>
        <v>13041.28741</v>
      </c>
      <c r="X30" s="71">
        <f t="shared" ref="X30:Y30" si="124">U30/0.95</f>
        <v>13727.67096</v>
      </c>
      <c r="Y30" s="71">
        <f t="shared" si="124"/>
        <v>0</v>
      </c>
      <c r="Z30" s="68">
        <f t="shared" si="10"/>
        <v>13727.67096</v>
      </c>
      <c r="AA30" s="71">
        <v>4316.7895</v>
      </c>
      <c r="AB30" s="71">
        <v>0.0</v>
      </c>
      <c r="AC30" s="68">
        <f t="shared" si="11"/>
        <v>4316.7895</v>
      </c>
      <c r="AD30" s="71">
        <f t="shared" ref="AD30:AE30" si="125">AA30*0.95</f>
        <v>4100.950025</v>
      </c>
      <c r="AE30" s="71">
        <f t="shared" si="125"/>
        <v>0</v>
      </c>
      <c r="AF30" s="68">
        <f t="shared" si="13"/>
        <v>4100.950025</v>
      </c>
      <c r="AG30" s="71">
        <v>155.0</v>
      </c>
      <c r="AH30" s="71">
        <v>0.0</v>
      </c>
      <c r="AI30" s="68">
        <f t="shared" si="14"/>
        <v>155</v>
      </c>
      <c r="AJ30" s="71">
        <f t="shared" ref="AJ30:AK30" si="126">AG30/1.05506</f>
        <v>146.9110761</v>
      </c>
      <c r="AK30" s="71">
        <f t="shared" si="126"/>
        <v>0</v>
      </c>
      <c r="AL30" s="68">
        <f t="shared" si="16"/>
        <v>146.9110761</v>
      </c>
    </row>
    <row r="31" ht="14.25" customHeight="1">
      <c r="B31" s="69">
        <v>45736.0</v>
      </c>
      <c r="C31" s="70"/>
      <c r="D31" s="70"/>
      <c r="E31" s="68">
        <f t="shared" si="1"/>
        <v>0</v>
      </c>
      <c r="F31" s="71">
        <v>383.0</v>
      </c>
      <c r="G31" s="71">
        <v>0.0</v>
      </c>
      <c r="H31" s="68">
        <f t="shared" si="17"/>
        <v>383</v>
      </c>
      <c r="I31" s="73">
        <f t="shared" ref="I31:J31" si="127">F31*55000*0.35/1000/0.55</f>
        <v>13405</v>
      </c>
      <c r="J31" s="73">
        <f t="shared" si="127"/>
        <v>0</v>
      </c>
      <c r="K31" s="68">
        <f t="shared" si="19"/>
        <v>13405</v>
      </c>
      <c r="L31" s="71">
        <v>25006.0</v>
      </c>
      <c r="M31" s="71">
        <v>0.0</v>
      </c>
      <c r="N31" s="68">
        <f t="shared" si="3"/>
        <v>25006</v>
      </c>
      <c r="O31" s="71">
        <v>3256.834532374101</v>
      </c>
      <c r="P31" s="71">
        <v>0.0</v>
      </c>
      <c r="Q31" s="68">
        <f t="shared" si="4"/>
        <v>3256.834532</v>
      </c>
      <c r="R31" s="71">
        <f t="shared" ref="R31:S31" si="128">L31-O31</f>
        <v>21749.16547</v>
      </c>
      <c r="S31" s="71">
        <f t="shared" si="128"/>
        <v>0</v>
      </c>
      <c r="T31" s="68">
        <f t="shared" si="6"/>
        <v>21749.16547</v>
      </c>
      <c r="U31" s="71">
        <f t="shared" ref="U31:V31" si="129">R31*0.55</f>
        <v>11962.04101</v>
      </c>
      <c r="V31" s="71">
        <f t="shared" si="129"/>
        <v>0</v>
      </c>
      <c r="W31" s="68">
        <f t="shared" si="8"/>
        <v>11962.04101</v>
      </c>
      <c r="X31" s="71">
        <f t="shared" ref="X31:Y31" si="130">U31/0.95</f>
        <v>12591.62211</v>
      </c>
      <c r="Y31" s="71">
        <f t="shared" si="130"/>
        <v>0</v>
      </c>
      <c r="Z31" s="68">
        <f t="shared" si="10"/>
        <v>12591.62211</v>
      </c>
      <c r="AA31" s="71">
        <v>4244.64233</v>
      </c>
      <c r="AB31" s="71">
        <v>0.0</v>
      </c>
      <c r="AC31" s="68">
        <f t="shared" si="11"/>
        <v>4244.64233</v>
      </c>
      <c r="AD31" s="71">
        <f t="shared" ref="AD31:AE31" si="131">AA31*0.95</f>
        <v>4032.410214</v>
      </c>
      <c r="AE31" s="71">
        <f t="shared" si="131"/>
        <v>0</v>
      </c>
      <c r="AF31" s="68">
        <f t="shared" si="13"/>
        <v>4032.410214</v>
      </c>
      <c r="AG31" s="71">
        <v>151.0</v>
      </c>
      <c r="AH31" s="71">
        <v>0.0</v>
      </c>
      <c r="AI31" s="68">
        <f t="shared" si="14"/>
        <v>151</v>
      </c>
      <c r="AJ31" s="71">
        <f t="shared" ref="AJ31:AK31" si="132">AG31/1.05506</f>
        <v>143.1198226</v>
      </c>
      <c r="AK31" s="71">
        <f t="shared" si="132"/>
        <v>0</v>
      </c>
      <c r="AL31" s="68">
        <f t="shared" si="16"/>
        <v>143.1198226</v>
      </c>
    </row>
    <row r="32" ht="14.25" customHeight="1">
      <c r="B32" s="69">
        <v>45737.0</v>
      </c>
      <c r="C32" s="70"/>
      <c r="D32" s="70"/>
      <c r="E32" s="68">
        <f t="shared" si="1"/>
        <v>0</v>
      </c>
      <c r="F32" s="71">
        <v>1150.0</v>
      </c>
      <c r="G32" s="71">
        <v>0.0</v>
      </c>
      <c r="H32" s="68">
        <f t="shared" si="17"/>
        <v>1150</v>
      </c>
      <c r="I32" s="73">
        <f t="shared" ref="I32:J32" si="133">F32*55000*0.35/1000/0.55</f>
        <v>40250</v>
      </c>
      <c r="J32" s="73">
        <f t="shared" si="133"/>
        <v>0</v>
      </c>
      <c r="K32" s="68">
        <f t="shared" si="19"/>
        <v>40250</v>
      </c>
      <c r="L32" s="71">
        <v>22740.0</v>
      </c>
      <c r="M32" s="71">
        <v>0.0</v>
      </c>
      <c r="N32" s="68">
        <f t="shared" si="3"/>
        <v>22740</v>
      </c>
      <c r="O32" s="71">
        <v>2907.1942446043167</v>
      </c>
      <c r="P32" s="71">
        <v>0.0</v>
      </c>
      <c r="Q32" s="68">
        <f t="shared" si="4"/>
        <v>2907.194245</v>
      </c>
      <c r="R32" s="71">
        <f t="shared" ref="R32:S32" si="134">L32-O32</f>
        <v>19832.80576</v>
      </c>
      <c r="S32" s="71">
        <f t="shared" si="134"/>
        <v>0</v>
      </c>
      <c r="T32" s="68">
        <f t="shared" si="6"/>
        <v>19832.80576</v>
      </c>
      <c r="U32" s="71">
        <f t="shared" ref="U32:V32" si="135">R32*0.55</f>
        <v>10908.04317</v>
      </c>
      <c r="V32" s="71">
        <f t="shared" si="135"/>
        <v>0</v>
      </c>
      <c r="W32" s="68">
        <f t="shared" si="8"/>
        <v>10908.04317</v>
      </c>
      <c r="X32" s="71">
        <f t="shared" ref="X32:Y32" si="136">U32/0.95</f>
        <v>11482.1507</v>
      </c>
      <c r="Y32" s="71">
        <f t="shared" si="136"/>
        <v>0</v>
      </c>
      <c r="Z32" s="68">
        <f t="shared" si="10"/>
        <v>11482.1507</v>
      </c>
      <c r="AA32" s="71">
        <v>1862.36757</v>
      </c>
      <c r="AB32" s="71">
        <v>0.0</v>
      </c>
      <c r="AC32" s="68">
        <f t="shared" si="11"/>
        <v>1862.36757</v>
      </c>
      <c r="AD32" s="71">
        <f t="shared" ref="AD32:AE32" si="137">AA32*0.95</f>
        <v>1769.249192</v>
      </c>
      <c r="AE32" s="71">
        <f t="shared" si="137"/>
        <v>0</v>
      </c>
      <c r="AF32" s="68">
        <f t="shared" si="13"/>
        <v>1769.249192</v>
      </c>
      <c r="AG32" s="71">
        <v>66.0</v>
      </c>
      <c r="AH32" s="71">
        <v>0.0</v>
      </c>
      <c r="AI32" s="68">
        <f t="shared" si="14"/>
        <v>66</v>
      </c>
      <c r="AJ32" s="71">
        <f t="shared" ref="AJ32:AK32" si="138">AG32/1.05506</f>
        <v>62.55568404</v>
      </c>
      <c r="AK32" s="71">
        <f t="shared" si="138"/>
        <v>0</v>
      </c>
      <c r="AL32" s="68">
        <f t="shared" si="16"/>
        <v>62.55568404</v>
      </c>
    </row>
    <row r="33" ht="14.25" customHeight="1">
      <c r="B33" s="69">
        <v>45738.0</v>
      </c>
      <c r="C33" s="70"/>
      <c r="D33" s="70"/>
      <c r="E33" s="68">
        <f t="shared" si="1"/>
        <v>0</v>
      </c>
      <c r="F33" s="71">
        <v>0.0</v>
      </c>
      <c r="G33" s="71">
        <v>0.0</v>
      </c>
      <c r="H33" s="68">
        <f t="shared" si="17"/>
        <v>0</v>
      </c>
      <c r="I33" s="73">
        <f t="shared" ref="I33:J33" si="139">F33*55000*0.35/1000/0.55</f>
        <v>0</v>
      </c>
      <c r="J33" s="73">
        <f t="shared" si="139"/>
        <v>0</v>
      </c>
      <c r="K33" s="68">
        <f t="shared" si="19"/>
        <v>0</v>
      </c>
      <c r="L33" s="71">
        <v>13343.0</v>
      </c>
      <c r="M33" s="71">
        <v>0.0</v>
      </c>
      <c r="N33" s="68">
        <f t="shared" si="3"/>
        <v>13343</v>
      </c>
      <c r="O33" s="71">
        <v>1883.8129496402878</v>
      </c>
      <c r="P33" s="71">
        <v>0.0</v>
      </c>
      <c r="Q33" s="68">
        <f t="shared" si="4"/>
        <v>1883.81295</v>
      </c>
      <c r="R33" s="71">
        <f t="shared" ref="R33:S33" si="140">L33-O33</f>
        <v>11459.18705</v>
      </c>
      <c r="S33" s="71">
        <f t="shared" si="140"/>
        <v>0</v>
      </c>
      <c r="T33" s="68">
        <f t="shared" si="6"/>
        <v>11459.18705</v>
      </c>
      <c r="U33" s="71">
        <f t="shared" ref="U33:V33" si="141">R33*0.55</f>
        <v>6302.552878</v>
      </c>
      <c r="V33" s="71">
        <f t="shared" si="141"/>
        <v>0</v>
      </c>
      <c r="W33" s="68">
        <f t="shared" si="8"/>
        <v>6302.552878</v>
      </c>
      <c r="X33" s="71">
        <f t="shared" ref="X33:Y33" si="142">U33/0.95</f>
        <v>6634.266187</v>
      </c>
      <c r="Y33" s="71">
        <f t="shared" si="142"/>
        <v>0</v>
      </c>
      <c r="Z33" s="68">
        <f t="shared" si="10"/>
        <v>6634.266187</v>
      </c>
      <c r="AA33" s="71">
        <v>884.8343</v>
      </c>
      <c r="AB33" s="71">
        <v>0.0</v>
      </c>
      <c r="AC33" s="68">
        <f t="shared" si="11"/>
        <v>884.8343</v>
      </c>
      <c r="AD33" s="71">
        <f t="shared" ref="AD33:AE33" si="143">AA33*0.95</f>
        <v>840.592585</v>
      </c>
      <c r="AE33" s="71">
        <f t="shared" si="143"/>
        <v>0</v>
      </c>
      <c r="AF33" s="68">
        <f t="shared" si="13"/>
        <v>840.592585</v>
      </c>
      <c r="AG33" s="71">
        <v>31.0</v>
      </c>
      <c r="AH33" s="71">
        <v>0.0</v>
      </c>
      <c r="AI33" s="68">
        <f t="shared" si="14"/>
        <v>31</v>
      </c>
      <c r="AJ33" s="71">
        <f t="shared" ref="AJ33:AK33" si="144">AG33/1.05506</f>
        <v>29.38221523</v>
      </c>
      <c r="AK33" s="71">
        <f t="shared" si="144"/>
        <v>0</v>
      </c>
      <c r="AL33" s="68">
        <f t="shared" si="16"/>
        <v>29.38221523</v>
      </c>
    </row>
    <row r="34" ht="14.25" customHeight="1">
      <c r="B34" s="69">
        <v>45739.0</v>
      </c>
      <c r="C34" s="70"/>
      <c r="D34" s="70"/>
      <c r="E34" s="68">
        <f t="shared" si="1"/>
        <v>0</v>
      </c>
      <c r="F34" s="71">
        <v>1256.0</v>
      </c>
      <c r="G34" s="71">
        <v>0.0</v>
      </c>
      <c r="H34" s="68">
        <f t="shared" si="17"/>
        <v>1256</v>
      </c>
      <c r="I34" s="73">
        <f t="shared" ref="I34:J34" si="145">F34*55000*0.35/1000/0.55</f>
        <v>43960</v>
      </c>
      <c r="J34" s="73">
        <f t="shared" si="145"/>
        <v>0</v>
      </c>
      <c r="K34" s="68">
        <f t="shared" si="19"/>
        <v>43960</v>
      </c>
      <c r="L34" s="71">
        <v>21191.0</v>
      </c>
      <c r="M34" s="71">
        <v>0.0</v>
      </c>
      <c r="N34" s="68">
        <f t="shared" si="3"/>
        <v>21191</v>
      </c>
      <c r="O34" s="71">
        <v>2815.8273381294966</v>
      </c>
      <c r="P34" s="71">
        <v>0.0</v>
      </c>
      <c r="Q34" s="68">
        <f t="shared" si="4"/>
        <v>2815.827338</v>
      </c>
      <c r="R34" s="71">
        <f t="shared" ref="R34:S34" si="146">L34-O34</f>
        <v>18375.17266</v>
      </c>
      <c r="S34" s="71">
        <f t="shared" si="146"/>
        <v>0</v>
      </c>
      <c r="T34" s="68">
        <f t="shared" si="6"/>
        <v>18375.17266</v>
      </c>
      <c r="U34" s="71">
        <f t="shared" ref="U34:V34" si="147">R34*0.55</f>
        <v>10106.34496</v>
      </c>
      <c r="V34" s="71">
        <f t="shared" si="147"/>
        <v>0</v>
      </c>
      <c r="W34" s="68">
        <f t="shared" si="8"/>
        <v>10106.34496</v>
      </c>
      <c r="X34" s="71">
        <f t="shared" ref="X34:Y34" si="148">U34/0.95</f>
        <v>10638.25786</v>
      </c>
      <c r="Y34" s="71">
        <f t="shared" si="148"/>
        <v>0</v>
      </c>
      <c r="Z34" s="68">
        <f t="shared" si="10"/>
        <v>10638.25786</v>
      </c>
      <c r="AA34" s="71">
        <v>5857.7745</v>
      </c>
      <c r="AB34" s="71">
        <v>0.0</v>
      </c>
      <c r="AC34" s="68">
        <f t="shared" si="11"/>
        <v>5857.7745</v>
      </c>
      <c r="AD34" s="71">
        <f t="shared" ref="AD34:AE34" si="149">AA34*0.95</f>
        <v>5564.885775</v>
      </c>
      <c r="AE34" s="71">
        <f t="shared" si="149"/>
        <v>0</v>
      </c>
      <c r="AF34" s="68">
        <f t="shared" si="13"/>
        <v>5564.885775</v>
      </c>
      <c r="AG34" s="71">
        <v>207.0</v>
      </c>
      <c r="AH34" s="71">
        <v>0.0</v>
      </c>
      <c r="AI34" s="68">
        <f t="shared" si="14"/>
        <v>207</v>
      </c>
      <c r="AJ34" s="71">
        <f t="shared" ref="AJ34:AK34" si="150">AG34/1.05506</f>
        <v>196.1973727</v>
      </c>
      <c r="AK34" s="71">
        <f t="shared" si="150"/>
        <v>0</v>
      </c>
      <c r="AL34" s="68">
        <f t="shared" si="16"/>
        <v>196.1973727</v>
      </c>
    </row>
    <row r="35" ht="14.25" customHeight="1">
      <c r="B35" s="69">
        <v>45740.0</v>
      </c>
      <c r="C35" s="70"/>
      <c r="D35" s="70"/>
      <c r="E35" s="68">
        <f t="shared" si="1"/>
        <v>0</v>
      </c>
      <c r="F35" s="71">
        <v>800.0</v>
      </c>
      <c r="G35" s="71">
        <v>0.0</v>
      </c>
      <c r="H35" s="68">
        <f t="shared" si="17"/>
        <v>800</v>
      </c>
      <c r="I35" s="73">
        <f t="shared" ref="I35:J35" si="151">F35*55000*0.35/1000/0.55</f>
        <v>28000</v>
      </c>
      <c r="J35" s="73">
        <f t="shared" si="151"/>
        <v>0</v>
      </c>
      <c r="K35" s="68">
        <f t="shared" si="19"/>
        <v>28000</v>
      </c>
      <c r="L35" s="71">
        <v>22511.0</v>
      </c>
      <c r="M35" s="71">
        <v>0.0</v>
      </c>
      <c r="N35" s="68">
        <f t="shared" si="3"/>
        <v>22511</v>
      </c>
      <c r="O35" s="71">
        <v>3193.1654676258995</v>
      </c>
      <c r="P35" s="71">
        <v>0.0</v>
      </c>
      <c r="Q35" s="68">
        <f t="shared" si="4"/>
        <v>3193.165468</v>
      </c>
      <c r="R35" s="71">
        <f t="shared" ref="R35:S35" si="152">L35-O35</f>
        <v>19317.83453</v>
      </c>
      <c r="S35" s="71">
        <f t="shared" si="152"/>
        <v>0</v>
      </c>
      <c r="T35" s="68">
        <f t="shared" si="6"/>
        <v>19317.83453</v>
      </c>
      <c r="U35" s="71">
        <f t="shared" ref="U35:V35" si="153">R35*0.55</f>
        <v>10624.80899</v>
      </c>
      <c r="V35" s="71">
        <f t="shared" si="153"/>
        <v>0</v>
      </c>
      <c r="W35" s="68">
        <f t="shared" si="8"/>
        <v>10624.80899</v>
      </c>
      <c r="X35" s="71">
        <f t="shared" ref="X35:Y35" si="154">U35/0.95</f>
        <v>11184.00947</v>
      </c>
      <c r="Y35" s="71">
        <f t="shared" si="154"/>
        <v>0</v>
      </c>
      <c r="Z35" s="68">
        <f t="shared" si="10"/>
        <v>11184.00947</v>
      </c>
      <c r="AA35" s="71">
        <v>6130.6954</v>
      </c>
      <c r="AB35" s="71">
        <v>0.0</v>
      </c>
      <c r="AC35" s="68">
        <f t="shared" si="11"/>
        <v>6130.6954</v>
      </c>
      <c r="AD35" s="71">
        <f t="shared" ref="AD35:AE35" si="155">AA35*0.95</f>
        <v>5824.16063</v>
      </c>
      <c r="AE35" s="71">
        <f t="shared" si="155"/>
        <v>0</v>
      </c>
      <c r="AF35" s="68">
        <f t="shared" si="13"/>
        <v>5824.16063</v>
      </c>
      <c r="AG35" s="71">
        <v>218.0</v>
      </c>
      <c r="AH35" s="71">
        <v>0.0</v>
      </c>
      <c r="AI35" s="68">
        <f t="shared" si="14"/>
        <v>218</v>
      </c>
      <c r="AJ35" s="71">
        <f t="shared" ref="AJ35:AK35" si="156">AG35/1.05506</f>
        <v>206.62332</v>
      </c>
      <c r="AK35" s="71">
        <f t="shared" si="156"/>
        <v>0</v>
      </c>
      <c r="AL35" s="68">
        <f t="shared" si="16"/>
        <v>206.62332</v>
      </c>
    </row>
    <row r="36" ht="14.25" customHeight="1">
      <c r="B36" s="69">
        <v>45741.0</v>
      </c>
      <c r="C36" s="70"/>
      <c r="D36" s="70"/>
      <c r="E36" s="68">
        <f t="shared" si="1"/>
        <v>0</v>
      </c>
      <c r="F36" s="71">
        <v>1577.0</v>
      </c>
      <c r="G36" s="71">
        <v>0.0</v>
      </c>
      <c r="H36" s="68">
        <f t="shared" si="17"/>
        <v>1577</v>
      </c>
      <c r="I36" s="73">
        <f t="shared" ref="I36:J36" si="157">F36*55000*0.35/1000/0.55</f>
        <v>55195</v>
      </c>
      <c r="J36" s="73">
        <f t="shared" si="157"/>
        <v>0</v>
      </c>
      <c r="K36" s="68">
        <f t="shared" si="19"/>
        <v>55195</v>
      </c>
      <c r="L36" s="71">
        <v>22735.7</v>
      </c>
      <c r="M36" s="71">
        <v>0.0</v>
      </c>
      <c r="N36" s="68">
        <f t="shared" si="3"/>
        <v>22735.7</v>
      </c>
      <c r="O36" s="71">
        <v>3189.568345323741</v>
      </c>
      <c r="P36" s="71">
        <v>0.0</v>
      </c>
      <c r="Q36" s="68">
        <f t="shared" si="4"/>
        <v>3189.568345</v>
      </c>
      <c r="R36" s="71">
        <f t="shared" ref="R36:S36" si="158">L36-O36</f>
        <v>19546.13165</v>
      </c>
      <c r="S36" s="71">
        <f t="shared" si="158"/>
        <v>0</v>
      </c>
      <c r="T36" s="68">
        <f t="shared" si="6"/>
        <v>19546.13165</v>
      </c>
      <c r="U36" s="71">
        <f t="shared" ref="U36:V36" si="159">R36*0.55</f>
        <v>10750.37241</v>
      </c>
      <c r="V36" s="71">
        <f t="shared" si="159"/>
        <v>0</v>
      </c>
      <c r="W36" s="68">
        <f t="shared" si="8"/>
        <v>10750.37241</v>
      </c>
      <c r="X36" s="71">
        <f t="shared" ref="X36:Y36" si="160">U36/0.95</f>
        <v>11316.18148</v>
      </c>
      <c r="Y36" s="71">
        <f t="shared" si="160"/>
        <v>0</v>
      </c>
      <c r="Z36" s="68">
        <f t="shared" si="10"/>
        <v>11316.18148</v>
      </c>
      <c r="AA36" s="71">
        <v>5823.1438</v>
      </c>
      <c r="AB36" s="71">
        <v>0.0</v>
      </c>
      <c r="AC36" s="68">
        <f t="shared" si="11"/>
        <v>5823.1438</v>
      </c>
      <c r="AD36" s="71">
        <f t="shared" ref="AD36:AE36" si="161">AA36*0.95</f>
        <v>5531.98661</v>
      </c>
      <c r="AE36" s="71">
        <f t="shared" si="161"/>
        <v>0</v>
      </c>
      <c r="AF36" s="68">
        <f t="shared" si="13"/>
        <v>5531.98661</v>
      </c>
      <c r="AG36" s="71">
        <v>206.0</v>
      </c>
      <c r="AH36" s="71">
        <v>0.0</v>
      </c>
      <c r="AI36" s="68">
        <f t="shared" si="14"/>
        <v>206</v>
      </c>
      <c r="AJ36" s="71">
        <f t="shared" ref="AJ36:AK36" si="162">AG36/1.05506</f>
        <v>195.2495593</v>
      </c>
      <c r="AK36" s="71">
        <f t="shared" si="162"/>
        <v>0</v>
      </c>
      <c r="AL36" s="68">
        <f t="shared" si="16"/>
        <v>195.2495593</v>
      </c>
    </row>
    <row r="37" ht="14.25" customHeight="1">
      <c r="B37" s="69">
        <v>45742.0</v>
      </c>
      <c r="C37" s="70"/>
      <c r="D37" s="70"/>
      <c r="E37" s="68">
        <f t="shared" si="1"/>
        <v>0</v>
      </c>
      <c r="F37" s="71">
        <v>776.0</v>
      </c>
      <c r="G37" s="71">
        <v>0.0</v>
      </c>
      <c r="H37" s="68">
        <f t="shared" si="17"/>
        <v>776</v>
      </c>
      <c r="I37" s="73">
        <f t="shared" ref="I37:J37" si="163">F37*55000*0.35/1000/0.55</f>
        <v>27160</v>
      </c>
      <c r="J37" s="73">
        <f t="shared" si="163"/>
        <v>0</v>
      </c>
      <c r="K37" s="68">
        <f t="shared" si="19"/>
        <v>27160</v>
      </c>
      <c r="L37" s="71">
        <v>19656.0</v>
      </c>
      <c r="M37" s="71">
        <v>0.0</v>
      </c>
      <c r="N37" s="68">
        <f t="shared" si="3"/>
        <v>19656</v>
      </c>
      <c r="O37" s="71">
        <v>2483.812949640288</v>
      </c>
      <c r="P37" s="71">
        <v>0.0</v>
      </c>
      <c r="Q37" s="68">
        <f t="shared" si="4"/>
        <v>2483.81295</v>
      </c>
      <c r="R37" s="71">
        <f t="shared" ref="R37:S37" si="164">L37-O37</f>
        <v>17172.18705</v>
      </c>
      <c r="S37" s="71">
        <f t="shared" si="164"/>
        <v>0</v>
      </c>
      <c r="T37" s="68">
        <f t="shared" si="6"/>
        <v>17172.18705</v>
      </c>
      <c r="U37" s="71">
        <f t="shared" ref="U37:V37" si="165">R37*0.55</f>
        <v>9444.702878</v>
      </c>
      <c r="V37" s="71">
        <f t="shared" si="165"/>
        <v>0</v>
      </c>
      <c r="W37" s="68">
        <f t="shared" si="8"/>
        <v>9444.702878</v>
      </c>
      <c r="X37" s="71">
        <f t="shared" ref="X37:Y37" si="166">U37/0.95</f>
        <v>9941.792503</v>
      </c>
      <c r="Y37" s="71">
        <f t="shared" si="166"/>
        <v>0</v>
      </c>
      <c r="Z37" s="68">
        <f t="shared" si="10"/>
        <v>9941.792503</v>
      </c>
      <c r="AA37" s="71">
        <v>1097.6041</v>
      </c>
      <c r="AB37" s="71">
        <v>0.0</v>
      </c>
      <c r="AC37" s="68">
        <f t="shared" si="11"/>
        <v>1097.6041</v>
      </c>
      <c r="AD37" s="71">
        <f t="shared" ref="AD37:AE37" si="167">AA37*0.95</f>
        <v>1042.723895</v>
      </c>
      <c r="AE37" s="71">
        <f t="shared" si="167"/>
        <v>0</v>
      </c>
      <c r="AF37" s="68">
        <f t="shared" si="13"/>
        <v>1042.723895</v>
      </c>
      <c r="AG37" s="71">
        <v>39.0</v>
      </c>
      <c r="AH37" s="71">
        <v>0.0</v>
      </c>
      <c r="AI37" s="68">
        <f t="shared" si="14"/>
        <v>39</v>
      </c>
      <c r="AJ37" s="71">
        <f t="shared" ref="AJ37:AK37" si="168">AG37/1.05506</f>
        <v>36.96472239</v>
      </c>
      <c r="AK37" s="71">
        <f t="shared" si="168"/>
        <v>0</v>
      </c>
      <c r="AL37" s="68">
        <f t="shared" si="16"/>
        <v>36.96472239</v>
      </c>
    </row>
    <row r="38" ht="14.25" customHeight="1">
      <c r="B38" s="69">
        <v>45743.0</v>
      </c>
      <c r="C38" s="70"/>
      <c r="D38" s="70"/>
      <c r="E38" s="68">
        <f t="shared" si="1"/>
        <v>0</v>
      </c>
      <c r="F38" s="71">
        <v>1445.0</v>
      </c>
      <c r="G38" s="71">
        <v>0.0</v>
      </c>
      <c r="H38" s="68">
        <f t="shared" si="17"/>
        <v>1445</v>
      </c>
      <c r="I38" s="73">
        <f t="shared" ref="I38:J38" si="169">F38*55000*0.35/1000/0.55</f>
        <v>50575</v>
      </c>
      <c r="J38" s="73">
        <f t="shared" si="169"/>
        <v>0</v>
      </c>
      <c r="K38" s="68">
        <f t="shared" si="19"/>
        <v>50575</v>
      </c>
      <c r="L38" s="71">
        <v>15407.0</v>
      </c>
      <c r="M38" s="71">
        <v>0.0</v>
      </c>
      <c r="N38" s="68">
        <f t="shared" si="3"/>
        <v>15407</v>
      </c>
      <c r="O38" s="71">
        <v>2218.705035971223</v>
      </c>
      <c r="P38" s="71">
        <v>0.0</v>
      </c>
      <c r="Q38" s="68">
        <f t="shared" si="4"/>
        <v>2218.705036</v>
      </c>
      <c r="R38" s="71">
        <f t="shared" ref="R38:S38" si="170">L38-O38</f>
        <v>13188.29496</v>
      </c>
      <c r="S38" s="71">
        <f t="shared" si="170"/>
        <v>0</v>
      </c>
      <c r="T38" s="68">
        <f t="shared" si="6"/>
        <v>13188.29496</v>
      </c>
      <c r="U38" s="71">
        <f t="shared" ref="U38:V38" si="171">R38*0.55</f>
        <v>7253.56223</v>
      </c>
      <c r="V38" s="71">
        <f t="shared" si="171"/>
        <v>0</v>
      </c>
      <c r="W38" s="68">
        <f t="shared" si="8"/>
        <v>7253.56223</v>
      </c>
      <c r="X38" s="71">
        <f t="shared" ref="X38:Y38" si="172">U38/0.95</f>
        <v>7635.328663</v>
      </c>
      <c r="Y38" s="71">
        <f t="shared" si="172"/>
        <v>0</v>
      </c>
      <c r="Z38" s="68">
        <f t="shared" si="10"/>
        <v>7635.328663</v>
      </c>
      <c r="AA38" s="71">
        <v>2389.0925</v>
      </c>
      <c r="AB38" s="71">
        <v>0.0</v>
      </c>
      <c r="AC38" s="68">
        <f t="shared" si="11"/>
        <v>2389.0925</v>
      </c>
      <c r="AD38" s="71">
        <f t="shared" ref="AD38:AE38" si="173">AA38*0.95</f>
        <v>2269.637875</v>
      </c>
      <c r="AE38" s="71">
        <f t="shared" si="173"/>
        <v>0</v>
      </c>
      <c r="AF38" s="68">
        <f t="shared" si="13"/>
        <v>2269.637875</v>
      </c>
      <c r="AG38" s="71">
        <v>85.0</v>
      </c>
      <c r="AH38" s="71">
        <v>0.0</v>
      </c>
      <c r="AI38" s="68">
        <f t="shared" si="14"/>
        <v>85</v>
      </c>
      <c r="AJ38" s="71">
        <f t="shared" ref="AJ38:AK38" si="174">AG38/1.05506</f>
        <v>80.56413853</v>
      </c>
      <c r="AK38" s="71">
        <f t="shared" si="174"/>
        <v>0</v>
      </c>
      <c r="AL38" s="68">
        <f t="shared" si="16"/>
        <v>80.56413853</v>
      </c>
    </row>
    <row r="39" ht="14.25" customHeight="1">
      <c r="B39" s="69">
        <v>45744.0</v>
      </c>
      <c r="C39" s="70"/>
      <c r="D39" s="70"/>
      <c r="E39" s="68">
        <f t="shared" si="1"/>
        <v>0</v>
      </c>
      <c r="F39" s="71">
        <v>1023.0</v>
      </c>
      <c r="G39" s="71">
        <v>0.0</v>
      </c>
      <c r="H39" s="68">
        <f t="shared" si="17"/>
        <v>1023</v>
      </c>
      <c r="I39" s="73">
        <f t="shared" ref="I39:J39" si="175">F37*55000*0.35/1000/0.55</f>
        <v>27160</v>
      </c>
      <c r="J39" s="73">
        <f t="shared" si="175"/>
        <v>0</v>
      </c>
      <c r="K39" s="68">
        <f t="shared" si="19"/>
        <v>27160</v>
      </c>
      <c r="L39" s="71">
        <v>22844.0</v>
      </c>
      <c r="M39" s="71">
        <v>0.0</v>
      </c>
      <c r="N39" s="68">
        <f t="shared" si="3"/>
        <v>22844</v>
      </c>
      <c r="O39" s="71">
        <v>3031.294964028777</v>
      </c>
      <c r="P39" s="71">
        <v>0.0</v>
      </c>
      <c r="Q39" s="68">
        <f t="shared" si="4"/>
        <v>3031.294964</v>
      </c>
      <c r="R39" s="71">
        <f t="shared" ref="R39:S39" si="176">L39-O39</f>
        <v>19812.70504</v>
      </c>
      <c r="S39" s="71">
        <f t="shared" si="176"/>
        <v>0</v>
      </c>
      <c r="T39" s="68">
        <f t="shared" si="6"/>
        <v>19812.70504</v>
      </c>
      <c r="U39" s="71">
        <f t="shared" ref="U39:V39" si="177">R39*0.55</f>
        <v>10896.98777</v>
      </c>
      <c r="V39" s="71">
        <f t="shared" si="177"/>
        <v>0</v>
      </c>
      <c r="W39" s="68">
        <f t="shared" si="8"/>
        <v>10896.98777</v>
      </c>
      <c r="X39" s="71">
        <f t="shared" ref="X39:Y39" si="178">U39/0.95</f>
        <v>11470.51344</v>
      </c>
      <c r="Y39" s="71">
        <f t="shared" si="178"/>
        <v>0</v>
      </c>
      <c r="Z39" s="68">
        <f t="shared" si="10"/>
        <v>11470.51344</v>
      </c>
      <c r="AA39" s="71">
        <v>3109.0269</v>
      </c>
      <c r="AB39" s="71">
        <v>0.0</v>
      </c>
      <c r="AC39" s="68">
        <f t="shared" si="11"/>
        <v>3109.0269</v>
      </c>
      <c r="AD39" s="71">
        <f t="shared" ref="AD39:AE39" si="179">AA39*0.95</f>
        <v>2953.575555</v>
      </c>
      <c r="AE39" s="71">
        <f t="shared" si="179"/>
        <v>0</v>
      </c>
      <c r="AF39" s="68">
        <f t="shared" si="13"/>
        <v>2953.575555</v>
      </c>
      <c r="AG39" s="71">
        <v>110.0</v>
      </c>
      <c r="AH39" s="71">
        <v>0.0</v>
      </c>
      <c r="AI39" s="68">
        <f t="shared" si="14"/>
        <v>110</v>
      </c>
      <c r="AJ39" s="71">
        <f t="shared" ref="AJ39:AK39" si="180">AG39/1.05506</f>
        <v>104.2594734</v>
      </c>
      <c r="AK39" s="71">
        <f t="shared" si="180"/>
        <v>0</v>
      </c>
      <c r="AL39" s="68">
        <f t="shared" si="16"/>
        <v>104.2594734</v>
      </c>
    </row>
    <row r="40" ht="14.25" customHeight="1">
      <c r="B40" s="69">
        <v>45745.0</v>
      </c>
      <c r="C40" s="70"/>
      <c r="D40" s="70"/>
      <c r="E40" s="68">
        <f t="shared" si="1"/>
        <v>0</v>
      </c>
      <c r="F40" s="71">
        <v>1455.0</v>
      </c>
      <c r="G40" s="71">
        <v>0.0</v>
      </c>
      <c r="H40" s="68">
        <f t="shared" si="17"/>
        <v>1455</v>
      </c>
      <c r="I40" s="73">
        <f t="shared" ref="I40:J40" si="181">F38*55000*0.35/1000/0.55</f>
        <v>50575</v>
      </c>
      <c r="J40" s="73">
        <f t="shared" si="181"/>
        <v>0</v>
      </c>
      <c r="K40" s="68">
        <f t="shared" si="19"/>
        <v>50575</v>
      </c>
      <c r="L40" s="71">
        <v>22197.0</v>
      </c>
      <c r="M40" s="71">
        <v>0.0</v>
      </c>
      <c r="N40" s="68">
        <f t="shared" si="3"/>
        <v>22197</v>
      </c>
      <c r="O40" s="71">
        <v>3101.4388489208636</v>
      </c>
      <c r="P40" s="71">
        <v>0.0</v>
      </c>
      <c r="Q40" s="68">
        <f t="shared" si="4"/>
        <v>3101.438849</v>
      </c>
      <c r="R40" s="71">
        <f t="shared" ref="R40:S40" si="182">L40-O40</f>
        <v>19095.56115</v>
      </c>
      <c r="S40" s="71">
        <f t="shared" si="182"/>
        <v>0</v>
      </c>
      <c r="T40" s="68">
        <f t="shared" si="6"/>
        <v>19095.56115</v>
      </c>
      <c r="U40" s="71">
        <f t="shared" ref="U40:V40" si="183">R40*0.55</f>
        <v>10502.55863</v>
      </c>
      <c r="V40" s="71">
        <f t="shared" si="183"/>
        <v>0</v>
      </c>
      <c r="W40" s="68">
        <f t="shared" si="8"/>
        <v>10502.55863</v>
      </c>
      <c r="X40" s="71">
        <f t="shared" ref="X40:Y40" si="184">U40/0.95</f>
        <v>11055.32488</v>
      </c>
      <c r="Y40" s="71">
        <f t="shared" si="184"/>
        <v>0</v>
      </c>
      <c r="Z40" s="68">
        <f t="shared" si="10"/>
        <v>11055.32488</v>
      </c>
      <c r="AA40" s="71">
        <v>3896.9187</v>
      </c>
      <c r="AB40" s="71">
        <v>0.0</v>
      </c>
      <c r="AC40" s="68">
        <f t="shared" si="11"/>
        <v>3896.9187</v>
      </c>
      <c r="AD40" s="71">
        <f t="shared" ref="AD40:AE40" si="185">AA40*0.95</f>
        <v>3702.072765</v>
      </c>
      <c r="AE40" s="71">
        <f t="shared" si="185"/>
        <v>0</v>
      </c>
      <c r="AF40" s="68">
        <f t="shared" si="13"/>
        <v>3702.072765</v>
      </c>
      <c r="AG40" s="71">
        <v>138.0</v>
      </c>
      <c r="AH40" s="71">
        <v>0.0</v>
      </c>
      <c r="AI40" s="68">
        <f t="shared" si="14"/>
        <v>138</v>
      </c>
      <c r="AJ40" s="71">
        <f t="shared" ref="AJ40:AK40" si="186">AG40/1.05506</f>
        <v>130.7982484</v>
      </c>
      <c r="AK40" s="71">
        <f t="shared" si="186"/>
        <v>0</v>
      </c>
      <c r="AL40" s="68">
        <f t="shared" si="16"/>
        <v>130.7982484</v>
      </c>
    </row>
    <row r="41" ht="14.25" customHeight="1">
      <c r="B41" s="69">
        <v>45746.0</v>
      </c>
      <c r="C41" s="70"/>
      <c r="D41" s="70"/>
      <c r="E41" s="68">
        <f t="shared" si="1"/>
        <v>0</v>
      </c>
      <c r="F41" s="71">
        <v>0.0</v>
      </c>
      <c r="G41" s="71">
        <v>0.0</v>
      </c>
      <c r="H41" s="68">
        <f t="shared" si="17"/>
        <v>0</v>
      </c>
      <c r="I41" s="73">
        <f t="shared" ref="I41:J41" si="187">F39*55000*0.35/1000/0.55</f>
        <v>35805</v>
      </c>
      <c r="J41" s="73">
        <f t="shared" si="187"/>
        <v>0</v>
      </c>
      <c r="K41" s="68">
        <f t="shared" si="19"/>
        <v>35805</v>
      </c>
      <c r="L41" s="71">
        <v>18908.0</v>
      </c>
      <c r="M41" s="71">
        <v>0.0</v>
      </c>
      <c r="N41" s="68">
        <f t="shared" si="3"/>
        <v>18908</v>
      </c>
      <c r="O41" s="71">
        <v>2322.3021582733813</v>
      </c>
      <c r="P41" s="71">
        <v>0.0</v>
      </c>
      <c r="Q41" s="68">
        <f t="shared" si="4"/>
        <v>2322.302158</v>
      </c>
      <c r="R41" s="71">
        <f t="shared" ref="R41:S41" si="188">L41-O41</f>
        <v>16585.69784</v>
      </c>
      <c r="S41" s="71">
        <f t="shared" si="188"/>
        <v>0</v>
      </c>
      <c r="T41" s="68">
        <f t="shared" si="6"/>
        <v>16585.69784</v>
      </c>
      <c r="U41" s="71">
        <f t="shared" ref="U41:V41" si="189">R41*0.55</f>
        <v>9122.133813</v>
      </c>
      <c r="V41" s="71">
        <f t="shared" si="189"/>
        <v>0</v>
      </c>
      <c r="W41" s="68">
        <f t="shared" si="8"/>
        <v>9122.133813</v>
      </c>
      <c r="X41" s="71">
        <f t="shared" ref="X41:Y41" si="190">U41/0.95</f>
        <v>9602.246119</v>
      </c>
      <c r="Y41" s="71">
        <f t="shared" si="190"/>
        <v>0</v>
      </c>
      <c r="Z41" s="68">
        <f t="shared" si="10"/>
        <v>9602.246119</v>
      </c>
      <c r="AA41" s="71">
        <v>2215.1496</v>
      </c>
      <c r="AB41" s="71">
        <v>0.0</v>
      </c>
      <c r="AC41" s="68">
        <f t="shared" si="11"/>
        <v>2215.1496</v>
      </c>
      <c r="AD41" s="71">
        <f t="shared" ref="AD41:AE41" si="191">AA41*0.95</f>
        <v>2104.39212</v>
      </c>
      <c r="AE41" s="71">
        <f t="shared" si="191"/>
        <v>0</v>
      </c>
      <c r="AF41" s="68">
        <f t="shared" si="13"/>
        <v>2104.39212</v>
      </c>
      <c r="AG41" s="71">
        <v>78.0</v>
      </c>
      <c r="AH41" s="71">
        <v>0.0</v>
      </c>
      <c r="AI41" s="68">
        <f t="shared" si="14"/>
        <v>78</v>
      </c>
      <c r="AJ41" s="71">
        <f t="shared" ref="AJ41:AK41" si="192">AG41/1.05506</f>
        <v>73.92944477</v>
      </c>
      <c r="AK41" s="71">
        <f t="shared" si="192"/>
        <v>0</v>
      </c>
      <c r="AL41" s="68">
        <f t="shared" si="16"/>
        <v>73.92944477</v>
      </c>
    </row>
    <row r="42" ht="14.25" customHeight="1">
      <c r="B42" s="69">
        <v>45747.0</v>
      </c>
      <c r="C42" s="70"/>
      <c r="D42" s="70"/>
      <c r="E42" s="68">
        <f t="shared" si="1"/>
        <v>0</v>
      </c>
      <c r="F42" s="71">
        <v>0.0</v>
      </c>
      <c r="G42" s="71">
        <v>0.0</v>
      </c>
      <c r="H42" s="68">
        <f t="shared" si="17"/>
        <v>0</v>
      </c>
      <c r="I42" s="73">
        <f t="shared" ref="I42:J42" si="193">F40*55000*0.35/1000/0.55</f>
        <v>50925</v>
      </c>
      <c r="J42" s="73">
        <f t="shared" si="193"/>
        <v>0</v>
      </c>
      <c r="K42" s="68">
        <f t="shared" si="19"/>
        <v>50925</v>
      </c>
      <c r="L42" s="71">
        <v>6251.0</v>
      </c>
      <c r="M42" s="71">
        <v>0.0</v>
      </c>
      <c r="N42" s="68">
        <f t="shared" si="3"/>
        <v>6251</v>
      </c>
      <c r="O42" s="71">
        <v>0.0</v>
      </c>
      <c r="P42" s="71">
        <v>0.0</v>
      </c>
      <c r="Q42" s="68">
        <f t="shared" si="4"/>
        <v>0</v>
      </c>
      <c r="R42" s="71">
        <f t="shared" ref="R42:S42" si="194">L42-O42</f>
        <v>6251</v>
      </c>
      <c r="S42" s="71">
        <f t="shared" si="194"/>
        <v>0</v>
      </c>
      <c r="T42" s="68">
        <f t="shared" si="6"/>
        <v>6251</v>
      </c>
      <c r="U42" s="71">
        <f t="shared" ref="U42:V42" si="195">R42*0.55</f>
        <v>3438.05</v>
      </c>
      <c r="V42" s="71">
        <f t="shared" si="195"/>
        <v>0</v>
      </c>
      <c r="W42" s="68">
        <f t="shared" si="8"/>
        <v>3438.05</v>
      </c>
      <c r="X42" s="71">
        <f t="shared" ref="X42:Y42" si="196">U42/0.95</f>
        <v>3619</v>
      </c>
      <c r="Y42" s="71">
        <f t="shared" si="196"/>
        <v>0</v>
      </c>
      <c r="Z42" s="68">
        <f t="shared" si="10"/>
        <v>3619</v>
      </c>
      <c r="AA42" s="71">
        <v>0.0</v>
      </c>
      <c r="AB42" s="71">
        <v>0.0</v>
      </c>
      <c r="AC42" s="68">
        <f t="shared" si="11"/>
        <v>0</v>
      </c>
      <c r="AD42" s="71">
        <f t="shared" ref="AD42:AE42" si="197">AA42*0.95</f>
        <v>0</v>
      </c>
      <c r="AE42" s="71">
        <f t="shared" si="197"/>
        <v>0</v>
      </c>
      <c r="AF42" s="68">
        <f t="shared" si="13"/>
        <v>0</v>
      </c>
      <c r="AG42" s="71">
        <v>0.0</v>
      </c>
      <c r="AH42" s="71">
        <v>0.0</v>
      </c>
      <c r="AI42" s="68">
        <f t="shared" si="14"/>
        <v>0</v>
      </c>
      <c r="AJ42" s="71">
        <f t="shared" ref="AJ42:AK42" si="198">AG42/1.05506</f>
        <v>0</v>
      </c>
      <c r="AK42" s="71">
        <f t="shared" si="198"/>
        <v>0</v>
      </c>
      <c r="AL42" s="68">
        <f t="shared" si="16"/>
        <v>0</v>
      </c>
    </row>
    <row r="43" ht="15.0" customHeight="1">
      <c r="B43" s="76" t="s">
        <v>49</v>
      </c>
      <c r="C43" s="77">
        <f t="shared" ref="C43:D43" si="199">SUM(C11:C42)</f>
        <v>0</v>
      </c>
      <c r="D43" s="77">
        <f t="shared" si="199"/>
        <v>0</v>
      </c>
      <c r="E43" s="77"/>
      <c r="F43" s="77">
        <f t="shared" ref="F43:AI43" si="200">SUM(F12:F42)</f>
        <v>26446</v>
      </c>
      <c r="G43" s="77">
        <f t="shared" si="200"/>
        <v>0</v>
      </c>
      <c r="H43" s="77">
        <f t="shared" si="200"/>
        <v>26446</v>
      </c>
      <c r="I43" s="77">
        <f t="shared" si="200"/>
        <v>1003345</v>
      </c>
      <c r="J43" s="77">
        <f t="shared" si="200"/>
        <v>0</v>
      </c>
      <c r="K43" s="77">
        <f t="shared" si="200"/>
        <v>1003345</v>
      </c>
      <c r="L43" s="77">
        <f t="shared" si="200"/>
        <v>599848.7</v>
      </c>
      <c r="M43" s="77">
        <f t="shared" si="200"/>
        <v>0</v>
      </c>
      <c r="N43" s="77">
        <f t="shared" si="200"/>
        <v>599848.7</v>
      </c>
      <c r="O43" s="77">
        <f t="shared" si="200"/>
        <v>79359.35252</v>
      </c>
      <c r="P43" s="77">
        <f t="shared" si="200"/>
        <v>0</v>
      </c>
      <c r="Q43" s="77">
        <f t="shared" si="200"/>
        <v>79359.35252</v>
      </c>
      <c r="R43" s="77">
        <f t="shared" si="200"/>
        <v>520489.3475</v>
      </c>
      <c r="S43" s="77">
        <f t="shared" si="200"/>
        <v>0</v>
      </c>
      <c r="T43" s="77">
        <f t="shared" si="200"/>
        <v>520489.3475</v>
      </c>
      <c r="U43" s="77">
        <f t="shared" si="200"/>
        <v>286269.1411</v>
      </c>
      <c r="V43" s="77">
        <f t="shared" si="200"/>
        <v>0</v>
      </c>
      <c r="W43" s="77">
        <f t="shared" si="200"/>
        <v>286269.1411</v>
      </c>
      <c r="X43" s="77">
        <f t="shared" si="200"/>
        <v>301335.938</v>
      </c>
      <c r="Y43" s="77">
        <f t="shared" si="200"/>
        <v>0</v>
      </c>
      <c r="Z43" s="77">
        <f t="shared" si="200"/>
        <v>301335.938</v>
      </c>
      <c r="AA43" s="77">
        <f t="shared" si="200"/>
        <v>82361.7897</v>
      </c>
      <c r="AB43" s="77">
        <f t="shared" si="200"/>
        <v>0</v>
      </c>
      <c r="AC43" s="77">
        <f t="shared" si="200"/>
        <v>82361.7897</v>
      </c>
      <c r="AD43" s="77">
        <f t="shared" si="200"/>
        <v>78243.70022</v>
      </c>
      <c r="AE43" s="77">
        <f t="shared" si="200"/>
        <v>0</v>
      </c>
      <c r="AF43" s="77">
        <f t="shared" si="200"/>
        <v>78243.70022</v>
      </c>
      <c r="AG43" s="77">
        <f t="shared" si="200"/>
        <v>2933</v>
      </c>
      <c r="AH43" s="77">
        <f t="shared" si="200"/>
        <v>0</v>
      </c>
      <c r="AI43" s="77">
        <f t="shared" si="200"/>
        <v>2933</v>
      </c>
      <c r="AJ43" s="78">
        <v>2780.0</v>
      </c>
      <c r="AK43" s="77">
        <f t="shared" ref="AK43:AL43" si="201">SUM(AK12:AK42)</f>
        <v>0</v>
      </c>
      <c r="AL43" s="77">
        <f t="shared" si="201"/>
        <v>2779.936686</v>
      </c>
      <c r="AN43" s="75">
        <f>AF43/Z43*100</f>
        <v>25.96560527</v>
      </c>
      <c r="AO43" s="83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 ht="15.75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5.7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5.7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5.75" customHeight="1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4.25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8" width="12.0"/>
    <col customWidth="1" min="9" max="9" width="13.13"/>
    <col customWidth="1" min="10" max="10" width="12.0"/>
    <col customWidth="1" min="11" max="11" width="13.0"/>
    <col customWidth="1" min="12" max="38" width="12.0"/>
    <col customWidth="1" min="40" max="40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10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45747.0</v>
      </c>
      <c r="C11" s="67"/>
      <c r="D11" s="67"/>
      <c r="E11" s="68">
        <f t="shared" ref="E11:E41" si="1">SUM(C11+D11)</f>
        <v>0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1" si="3">SUM(L11+M11)</f>
        <v>0</v>
      </c>
      <c r="O11" s="68"/>
      <c r="P11" s="68"/>
      <c r="Q11" s="68">
        <f t="shared" ref="Q11:Q41" si="4">SUM(O11+P11)</f>
        <v>0</v>
      </c>
      <c r="R11" s="68"/>
      <c r="S11" s="68"/>
      <c r="T11" s="68">
        <f t="shared" ref="T11:T41" si="6">SUM(R11+S11)</f>
        <v>0</v>
      </c>
      <c r="U11" s="68"/>
      <c r="V11" s="68"/>
      <c r="W11" s="68">
        <f t="shared" ref="W11:W41" si="8">SUM(U11+V11)</f>
        <v>0</v>
      </c>
      <c r="X11" s="68"/>
      <c r="Y11" s="68"/>
      <c r="Z11" s="68">
        <f t="shared" ref="Z11:Z41" si="10">SUM(X11+Y11)</f>
        <v>0</v>
      </c>
      <c r="AA11" s="68"/>
      <c r="AB11" s="68"/>
      <c r="AC11" s="68">
        <f t="shared" ref="AC11:AC41" si="11">SUM(AA11+AB11)</f>
        <v>0</v>
      </c>
      <c r="AD11" s="68"/>
      <c r="AE11" s="68"/>
      <c r="AF11" s="68">
        <f t="shared" ref="AF11:AF41" si="13">SUM(AD11+AE11)</f>
        <v>0</v>
      </c>
      <c r="AG11" s="68"/>
      <c r="AH11" s="68"/>
      <c r="AI11" s="68">
        <f t="shared" ref="AI11:AI41" si="14">SUM(AG11+AH11)</f>
        <v>0</v>
      </c>
      <c r="AJ11" s="68"/>
      <c r="AK11" s="68"/>
      <c r="AL11" s="68">
        <f t="shared" ref="AL11:AL41" si="16">SUM(AJ11+AK11)</f>
        <v>0</v>
      </c>
    </row>
    <row r="12" ht="18.0" customHeight="1">
      <c r="B12" s="69">
        <v>45748.0</v>
      </c>
      <c r="C12" s="70"/>
      <c r="D12" s="70"/>
      <c r="E12" s="68">
        <f t="shared" si="1"/>
        <v>0</v>
      </c>
      <c r="F12" s="71">
        <v>0.0</v>
      </c>
      <c r="G12" s="71">
        <v>0.0</v>
      </c>
      <c r="H12" s="68">
        <f t="shared" ref="H12:H41" si="17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41" si="19">J12+I12</f>
        <v>0</v>
      </c>
      <c r="L12" s="71">
        <v>5269.0</v>
      </c>
      <c r="M12" s="71">
        <v>0.0</v>
      </c>
      <c r="N12" s="68">
        <f t="shared" si="3"/>
        <v>5269</v>
      </c>
      <c r="O12" s="71">
        <v>0.0</v>
      </c>
      <c r="P12" s="71">
        <v>0.0</v>
      </c>
      <c r="Q12" s="68">
        <f t="shared" si="4"/>
        <v>0</v>
      </c>
      <c r="R12" s="71">
        <f t="shared" ref="R12:S12" si="5">L12-O12</f>
        <v>5269</v>
      </c>
      <c r="S12" s="71">
        <f t="shared" si="5"/>
        <v>0</v>
      </c>
      <c r="T12" s="68">
        <f t="shared" si="6"/>
        <v>5269</v>
      </c>
      <c r="U12" s="71">
        <f t="shared" ref="U12:V12" si="7">R12*0.55</f>
        <v>2897.95</v>
      </c>
      <c r="V12" s="71">
        <f t="shared" si="7"/>
        <v>0</v>
      </c>
      <c r="W12" s="68">
        <f t="shared" si="8"/>
        <v>2897.95</v>
      </c>
      <c r="X12" s="71">
        <f t="shared" ref="X12:Y12" si="9">U12/0.95</f>
        <v>3050.473684</v>
      </c>
      <c r="Y12" s="71">
        <f t="shared" si="9"/>
        <v>0</v>
      </c>
      <c r="Z12" s="68">
        <f t="shared" si="10"/>
        <v>3050.473684</v>
      </c>
      <c r="AA12" s="71">
        <v>0.0</v>
      </c>
      <c r="AB12" s="71">
        <v>0.0</v>
      </c>
      <c r="AC12" s="68">
        <f t="shared" si="11"/>
        <v>0</v>
      </c>
      <c r="AD12" s="71">
        <f t="shared" ref="AD12:AE12" si="12">AA12*0.95</f>
        <v>0</v>
      </c>
      <c r="AE12" s="71">
        <f t="shared" si="12"/>
        <v>0</v>
      </c>
      <c r="AF12" s="68">
        <f t="shared" si="13"/>
        <v>0</v>
      </c>
      <c r="AG12" s="71">
        <v>0.0</v>
      </c>
      <c r="AH12" s="71">
        <v>0.0</v>
      </c>
      <c r="AI12" s="68">
        <f t="shared" si="14"/>
        <v>0</v>
      </c>
      <c r="AJ12" s="71">
        <f t="shared" ref="AJ12:AK12" si="15">AG12/1.05506</f>
        <v>0</v>
      </c>
      <c r="AK12" s="71">
        <f t="shared" si="15"/>
        <v>0</v>
      </c>
      <c r="AL12" s="68">
        <f t="shared" si="16"/>
        <v>0</v>
      </c>
    </row>
    <row r="13" ht="14.25" customHeight="1">
      <c r="B13" s="69">
        <v>45749.0</v>
      </c>
      <c r="C13" s="70"/>
      <c r="D13" s="70"/>
      <c r="E13" s="68">
        <f t="shared" si="1"/>
        <v>0</v>
      </c>
      <c r="F13" s="71">
        <v>0.0</v>
      </c>
      <c r="G13" s="71">
        <v>0.0</v>
      </c>
      <c r="H13" s="68">
        <f t="shared" si="17"/>
        <v>0</v>
      </c>
      <c r="I13" s="73">
        <f t="shared" ref="I13:J13" si="18">F13*55000*0.35/1000/0.55</f>
        <v>0</v>
      </c>
      <c r="J13" s="73">
        <f t="shared" si="18"/>
        <v>0</v>
      </c>
      <c r="K13" s="68">
        <f t="shared" si="19"/>
        <v>0</v>
      </c>
      <c r="L13" s="71">
        <v>6947.0</v>
      </c>
      <c r="M13" s="71">
        <v>0.0</v>
      </c>
      <c r="N13" s="68">
        <f t="shared" si="3"/>
        <v>6947</v>
      </c>
      <c r="O13" s="71">
        <v>0.0</v>
      </c>
      <c r="P13" s="71">
        <v>0.0</v>
      </c>
      <c r="Q13" s="68">
        <f t="shared" si="4"/>
        <v>0</v>
      </c>
      <c r="R13" s="71">
        <f t="shared" ref="R13:S13" si="20">L13-O13</f>
        <v>6947</v>
      </c>
      <c r="S13" s="71">
        <f t="shared" si="20"/>
        <v>0</v>
      </c>
      <c r="T13" s="68">
        <f t="shared" si="6"/>
        <v>6947</v>
      </c>
      <c r="U13" s="71">
        <f t="shared" ref="U13:V13" si="21">R13*0.55</f>
        <v>3820.85</v>
      </c>
      <c r="V13" s="71">
        <f t="shared" si="21"/>
        <v>0</v>
      </c>
      <c r="W13" s="68">
        <f t="shared" si="8"/>
        <v>3820.85</v>
      </c>
      <c r="X13" s="71">
        <f t="shared" ref="X13:Y13" si="22">U13/0.95</f>
        <v>4021.947368</v>
      </c>
      <c r="Y13" s="71">
        <f t="shared" si="22"/>
        <v>0</v>
      </c>
      <c r="Z13" s="68">
        <f t="shared" si="10"/>
        <v>4021.947368</v>
      </c>
      <c r="AA13" s="71">
        <v>0.0</v>
      </c>
      <c r="AB13" s="71">
        <v>0.0</v>
      </c>
      <c r="AC13" s="68">
        <f t="shared" si="11"/>
        <v>0</v>
      </c>
      <c r="AD13" s="71">
        <f t="shared" ref="AD13:AE13" si="23">AA13*0.95</f>
        <v>0</v>
      </c>
      <c r="AE13" s="71">
        <f t="shared" si="23"/>
        <v>0</v>
      </c>
      <c r="AF13" s="68">
        <f t="shared" si="13"/>
        <v>0</v>
      </c>
      <c r="AG13" s="71">
        <v>0.0</v>
      </c>
      <c r="AH13" s="71">
        <v>0.0</v>
      </c>
      <c r="AI13" s="68">
        <f t="shared" si="14"/>
        <v>0</v>
      </c>
      <c r="AJ13" s="71">
        <f t="shared" ref="AJ13:AK13" si="24">AG13/1.05506</f>
        <v>0</v>
      </c>
      <c r="AK13" s="71">
        <f t="shared" si="24"/>
        <v>0</v>
      </c>
      <c r="AL13" s="68">
        <f t="shared" si="16"/>
        <v>0</v>
      </c>
    </row>
    <row r="14" ht="14.25" customHeight="1">
      <c r="B14" s="69">
        <v>45750.0</v>
      </c>
      <c r="C14" s="70"/>
      <c r="D14" s="70"/>
      <c r="E14" s="68">
        <f t="shared" si="1"/>
        <v>0</v>
      </c>
      <c r="F14" s="71">
        <v>0.0</v>
      </c>
      <c r="G14" s="71">
        <v>0.0</v>
      </c>
      <c r="H14" s="68">
        <f t="shared" si="17"/>
        <v>0</v>
      </c>
      <c r="I14" s="73">
        <f t="shared" ref="I14:J14" si="25">F14*55000*0.35/1000/0.55</f>
        <v>0</v>
      </c>
      <c r="J14" s="73">
        <f t="shared" si="25"/>
        <v>0</v>
      </c>
      <c r="K14" s="68">
        <f t="shared" si="19"/>
        <v>0</v>
      </c>
      <c r="L14" s="71">
        <v>7210.0</v>
      </c>
      <c r="M14" s="71">
        <v>0.0</v>
      </c>
      <c r="N14" s="68">
        <f t="shared" si="3"/>
        <v>7210</v>
      </c>
      <c r="O14" s="71">
        <v>0.0</v>
      </c>
      <c r="P14" s="71">
        <v>0.0</v>
      </c>
      <c r="Q14" s="68">
        <f t="shared" si="4"/>
        <v>0</v>
      </c>
      <c r="R14" s="71">
        <f t="shared" ref="R14:S14" si="26">L14-O14</f>
        <v>7210</v>
      </c>
      <c r="S14" s="71">
        <f t="shared" si="26"/>
        <v>0</v>
      </c>
      <c r="T14" s="68">
        <f t="shared" si="6"/>
        <v>7210</v>
      </c>
      <c r="U14" s="71">
        <f t="shared" ref="U14:V14" si="27">R14*0.55</f>
        <v>3965.5</v>
      </c>
      <c r="V14" s="71">
        <f t="shared" si="27"/>
        <v>0</v>
      </c>
      <c r="W14" s="68">
        <f t="shared" si="8"/>
        <v>3965.5</v>
      </c>
      <c r="X14" s="71">
        <f t="shared" ref="X14:Y14" si="28">U14/0.95</f>
        <v>4174.210526</v>
      </c>
      <c r="Y14" s="71">
        <f t="shared" si="28"/>
        <v>0</v>
      </c>
      <c r="Z14" s="68">
        <f t="shared" si="10"/>
        <v>4174.210526</v>
      </c>
      <c r="AA14" s="71">
        <v>0.0</v>
      </c>
      <c r="AB14" s="71">
        <v>0.0</v>
      </c>
      <c r="AC14" s="68">
        <f t="shared" si="11"/>
        <v>0</v>
      </c>
      <c r="AD14" s="71">
        <f t="shared" ref="AD14:AE14" si="29">AA14*0.95</f>
        <v>0</v>
      </c>
      <c r="AE14" s="71">
        <f t="shared" si="29"/>
        <v>0</v>
      </c>
      <c r="AF14" s="68">
        <f t="shared" si="13"/>
        <v>0</v>
      </c>
      <c r="AG14" s="71">
        <v>0.0</v>
      </c>
      <c r="AH14" s="71">
        <v>0.0</v>
      </c>
      <c r="AI14" s="68">
        <f t="shared" si="14"/>
        <v>0</v>
      </c>
      <c r="AJ14" s="71">
        <f t="shared" ref="AJ14:AK14" si="30">AG14/1.05506</f>
        <v>0</v>
      </c>
      <c r="AK14" s="71">
        <f t="shared" si="30"/>
        <v>0</v>
      </c>
      <c r="AL14" s="68">
        <f t="shared" si="16"/>
        <v>0</v>
      </c>
    </row>
    <row r="15" ht="14.25" customHeight="1">
      <c r="B15" s="69">
        <v>45751.0</v>
      </c>
      <c r="C15" s="70"/>
      <c r="D15" s="70"/>
      <c r="E15" s="68">
        <f t="shared" si="1"/>
        <v>0</v>
      </c>
      <c r="F15" s="71">
        <v>209.0</v>
      </c>
      <c r="G15" s="71">
        <v>0.0</v>
      </c>
      <c r="H15" s="68">
        <f t="shared" si="17"/>
        <v>209</v>
      </c>
      <c r="I15" s="73">
        <f t="shared" ref="I15:J15" si="31">F15*55000*0.35/1000/0.55</f>
        <v>7315</v>
      </c>
      <c r="J15" s="73">
        <f t="shared" si="31"/>
        <v>0</v>
      </c>
      <c r="K15" s="68">
        <f t="shared" si="19"/>
        <v>7315</v>
      </c>
      <c r="L15" s="71">
        <v>6604.0</v>
      </c>
      <c r="M15" s="71">
        <v>0.0</v>
      </c>
      <c r="N15" s="68">
        <f t="shared" si="3"/>
        <v>6604</v>
      </c>
      <c r="O15" s="71">
        <v>0.0</v>
      </c>
      <c r="P15" s="71">
        <v>0.0</v>
      </c>
      <c r="Q15" s="68">
        <f t="shared" si="4"/>
        <v>0</v>
      </c>
      <c r="R15" s="71">
        <f t="shared" ref="R15:S15" si="32">L15-O15</f>
        <v>6604</v>
      </c>
      <c r="S15" s="71">
        <f t="shared" si="32"/>
        <v>0</v>
      </c>
      <c r="T15" s="68">
        <f t="shared" si="6"/>
        <v>6604</v>
      </c>
      <c r="U15" s="71">
        <f t="shared" ref="U15:V15" si="33">R15*0.55</f>
        <v>3632.2</v>
      </c>
      <c r="V15" s="71">
        <f t="shared" si="33"/>
        <v>0</v>
      </c>
      <c r="W15" s="68">
        <f t="shared" si="8"/>
        <v>3632.2</v>
      </c>
      <c r="X15" s="71">
        <f t="shared" ref="X15:Y15" si="34">U15/0.95</f>
        <v>3823.368421</v>
      </c>
      <c r="Y15" s="71">
        <f t="shared" si="34"/>
        <v>0</v>
      </c>
      <c r="Z15" s="68">
        <f t="shared" si="10"/>
        <v>3823.368421</v>
      </c>
      <c r="AA15" s="71">
        <v>0.0</v>
      </c>
      <c r="AB15" s="71">
        <v>0.0</v>
      </c>
      <c r="AC15" s="68">
        <f t="shared" si="11"/>
        <v>0</v>
      </c>
      <c r="AD15" s="71">
        <f t="shared" ref="AD15:AE15" si="35">AA15*0.95</f>
        <v>0</v>
      </c>
      <c r="AE15" s="71">
        <f t="shared" si="35"/>
        <v>0</v>
      </c>
      <c r="AF15" s="68">
        <f t="shared" si="13"/>
        <v>0</v>
      </c>
      <c r="AG15" s="71">
        <v>0.0</v>
      </c>
      <c r="AH15" s="71">
        <v>0.0</v>
      </c>
      <c r="AI15" s="68">
        <f t="shared" si="14"/>
        <v>0</v>
      </c>
      <c r="AJ15" s="71">
        <f t="shared" ref="AJ15:AK15" si="36">AG15/1.05506</f>
        <v>0</v>
      </c>
      <c r="AK15" s="71">
        <f t="shared" si="36"/>
        <v>0</v>
      </c>
      <c r="AL15" s="68">
        <f t="shared" si="16"/>
        <v>0</v>
      </c>
    </row>
    <row r="16" ht="14.25" customHeight="1">
      <c r="B16" s="69">
        <v>45752.0</v>
      </c>
      <c r="C16" s="70"/>
      <c r="D16" s="70"/>
      <c r="E16" s="68">
        <f t="shared" si="1"/>
        <v>0</v>
      </c>
      <c r="F16" s="71">
        <v>1138.0</v>
      </c>
      <c r="G16" s="71">
        <v>0.0</v>
      </c>
      <c r="H16" s="68">
        <f t="shared" si="17"/>
        <v>1138</v>
      </c>
      <c r="I16" s="73">
        <f t="shared" ref="I16:J16" si="37">F16*55000*0.35/1000/0.55</f>
        <v>39830</v>
      </c>
      <c r="J16" s="73">
        <f t="shared" si="37"/>
        <v>0</v>
      </c>
      <c r="K16" s="68">
        <f t="shared" si="19"/>
        <v>39830</v>
      </c>
      <c r="L16" s="71">
        <v>8500.0</v>
      </c>
      <c r="M16" s="71">
        <v>0.0</v>
      </c>
      <c r="N16" s="68">
        <f t="shared" si="3"/>
        <v>8500</v>
      </c>
      <c r="O16" s="71">
        <v>332.7338129496403</v>
      </c>
      <c r="P16" s="71">
        <v>0.0</v>
      </c>
      <c r="Q16" s="68">
        <f t="shared" si="4"/>
        <v>332.7338129</v>
      </c>
      <c r="R16" s="71">
        <f t="shared" ref="R16:S16" si="38">L16-O16</f>
        <v>8167.266187</v>
      </c>
      <c r="S16" s="71">
        <f t="shared" si="38"/>
        <v>0</v>
      </c>
      <c r="T16" s="68">
        <f t="shared" si="6"/>
        <v>8167.266187</v>
      </c>
      <c r="U16" s="71">
        <f t="shared" ref="U16:V16" si="39">R16*0.55</f>
        <v>4491.996403</v>
      </c>
      <c r="V16" s="71">
        <f t="shared" si="39"/>
        <v>0</v>
      </c>
      <c r="W16" s="68">
        <f t="shared" si="8"/>
        <v>4491.996403</v>
      </c>
      <c r="X16" s="71">
        <f t="shared" ref="X16:Y16" si="40">U16/0.95</f>
        <v>4728.417266</v>
      </c>
      <c r="Y16" s="71">
        <f t="shared" si="40"/>
        <v>0</v>
      </c>
      <c r="Z16" s="68">
        <f t="shared" si="10"/>
        <v>4728.417266</v>
      </c>
      <c r="AA16" s="71">
        <v>0.0</v>
      </c>
      <c r="AB16" s="71">
        <v>0.0</v>
      </c>
      <c r="AC16" s="68">
        <f t="shared" si="11"/>
        <v>0</v>
      </c>
      <c r="AD16" s="71">
        <f t="shared" ref="AD16:AE16" si="41">AA16*0.95</f>
        <v>0</v>
      </c>
      <c r="AE16" s="71">
        <f t="shared" si="41"/>
        <v>0</v>
      </c>
      <c r="AF16" s="68">
        <f t="shared" si="13"/>
        <v>0</v>
      </c>
      <c r="AG16" s="71">
        <v>0.0</v>
      </c>
      <c r="AH16" s="71">
        <v>0.0</v>
      </c>
      <c r="AI16" s="68">
        <f t="shared" si="14"/>
        <v>0</v>
      </c>
      <c r="AJ16" s="71">
        <f t="shared" ref="AJ16:AK16" si="42">AG16/1.05506</f>
        <v>0</v>
      </c>
      <c r="AK16" s="71">
        <f t="shared" si="42"/>
        <v>0</v>
      </c>
      <c r="AL16" s="68">
        <f t="shared" si="16"/>
        <v>0</v>
      </c>
    </row>
    <row r="17" ht="14.25" customHeight="1">
      <c r="B17" s="69">
        <v>45753.0</v>
      </c>
      <c r="C17" s="70"/>
      <c r="D17" s="70"/>
      <c r="E17" s="68">
        <f t="shared" si="1"/>
        <v>0</v>
      </c>
      <c r="F17" s="71">
        <v>1061.0</v>
      </c>
      <c r="G17" s="71">
        <v>0.0</v>
      </c>
      <c r="H17" s="68">
        <f t="shared" si="17"/>
        <v>1061</v>
      </c>
      <c r="I17" s="73">
        <f t="shared" ref="I17:J17" si="43">F17*55000*0.35/1000/0.55</f>
        <v>37135</v>
      </c>
      <c r="J17" s="73">
        <f t="shared" si="43"/>
        <v>0</v>
      </c>
      <c r="K17" s="68">
        <f t="shared" si="19"/>
        <v>37135</v>
      </c>
      <c r="L17" s="71">
        <v>9614.0</v>
      </c>
      <c r="M17" s="71">
        <v>0.0</v>
      </c>
      <c r="N17" s="68">
        <f t="shared" si="3"/>
        <v>9614</v>
      </c>
      <c r="O17" s="71">
        <v>1712.9496402877699</v>
      </c>
      <c r="P17" s="71">
        <v>0.0</v>
      </c>
      <c r="Q17" s="68">
        <f t="shared" si="4"/>
        <v>1712.94964</v>
      </c>
      <c r="R17" s="71">
        <f t="shared" ref="R17:S17" si="44">L17-O17</f>
        <v>7901.05036</v>
      </c>
      <c r="S17" s="71">
        <f t="shared" si="44"/>
        <v>0</v>
      </c>
      <c r="T17" s="68">
        <f t="shared" si="6"/>
        <v>7901.05036</v>
      </c>
      <c r="U17" s="71">
        <f t="shared" ref="U17:V17" si="45">R17*0.55</f>
        <v>4345.577698</v>
      </c>
      <c r="V17" s="71">
        <f t="shared" si="45"/>
        <v>0</v>
      </c>
      <c r="W17" s="68">
        <f t="shared" si="8"/>
        <v>4345.577698</v>
      </c>
      <c r="X17" s="71">
        <f t="shared" ref="X17:Y17" si="46">U17/0.95</f>
        <v>4574.292314</v>
      </c>
      <c r="Y17" s="71">
        <f t="shared" si="46"/>
        <v>0</v>
      </c>
      <c r="Z17" s="68">
        <f t="shared" si="10"/>
        <v>4574.292314</v>
      </c>
      <c r="AA17" s="71">
        <v>0.0</v>
      </c>
      <c r="AB17" s="71">
        <v>0.0</v>
      </c>
      <c r="AC17" s="68">
        <f t="shared" si="11"/>
        <v>0</v>
      </c>
      <c r="AD17" s="71">
        <f t="shared" ref="AD17:AE17" si="47">AA17*0.95</f>
        <v>0</v>
      </c>
      <c r="AE17" s="71">
        <f t="shared" si="47"/>
        <v>0</v>
      </c>
      <c r="AF17" s="68">
        <f t="shared" si="13"/>
        <v>0</v>
      </c>
      <c r="AG17" s="71">
        <v>0.0</v>
      </c>
      <c r="AH17" s="71">
        <v>0.0</v>
      </c>
      <c r="AI17" s="68">
        <f t="shared" si="14"/>
        <v>0</v>
      </c>
      <c r="AJ17" s="71">
        <f t="shared" ref="AJ17:AK17" si="48">AG17/1.05506</f>
        <v>0</v>
      </c>
      <c r="AK17" s="71">
        <f t="shared" si="48"/>
        <v>0</v>
      </c>
      <c r="AL17" s="68">
        <f t="shared" si="16"/>
        <v>0</v>
      </c>
    </row>
    <row r="18" ht="14.25" customHeight="1">
      <c r="B18" s="69">
        <v>45754.0</v>
      </c>
      <c r="C18" s="70"/>
      <c r="D18" s="70"/>
      <c r="E18" s="68">
        <f t="shared" si="1"/>
        <v>0</v>
      </c>
      <c r="F18" s="71">
        <v>1339.0</v>
      </c>
      <c r="G18" s="71">
        <v>0.0</v>
      </c>
      <c r="H18" s="68">
        <f t="shared" si="17"/>
        <v>1339</v>
      </c>
      <c r="I18" s="73">
        <f t="shared" ref="I18:J18" si="49">F18*55000*0.35/1000/0.55</f>
        <v>46865</v>
      </c>
      <c r="J18" s="73">
        <f t="shared" si="49"/>
        <v>0</v>
      </c>
      <c r="K18" s="68">
        <f t="shared" si="19"/>
        <v>46865</v>
      </c>
      <c r="L18" s="71">
        <v>9646.0</v>
      </c>
      <c r="M18" s="71">
        <v>0.0</v>
      </c>
      <c r="N18" s="68">
        <f t="shared" si="3"/>
        <v>9646</v>
      </c>
      <c r="O18" s="71">
        <v>1885.2517985611512</v>
      </c>
      <c r="P18" s="71">
        <v>0.0</v>
      </c>
      <c r="Q18" s="68">
        <f t="shared" si="4"/>
        <v>1885.251799</v>
      </c>
      <c r="R18" s="71">
        <f t="shared" ref="R18:S18" si="50">L18-O18</f>
        <v>7760.748201</v>
      </c>
      <c r="S18" s="71">
        <f t="shared" si="50"/>
        <v>0</v>
      </c>
      <c r="T18" s="68">
        <f t="shared" si="6"/>
        <v>7760.748201</v>
      </c>
      <c r="U18" s="71">
        <f t="shared" ref="U18:V18" si="51">R18*0.55</f>
        <v>4268.411511</v>
      </c>
      <c r="V18" s="71">
        <f t="shared" si="51"/>
        <v>0</v>
      </c>
      <c r="W18" s="68">
        <f t="shared" si="8"/>
        <v>4268.411511</v>
      </c>
      <c r="X18" s="71">
        <f t="shared" ref="X18:Y18" si="52">U18/0.95</f>
        <v>4493.064748</v>
      </c>
      <c r="Y18" s="71">
        <f t="shared" si="52"/>
        <v>0</v>
      </c>
      <c r="Z18" s="68">
        <f t="shared" si="10"/>
        <v>4493.064748</v>
      </c>
      <c r="AA18" s="71">
        <v>0.0</v>
      </c>
      <c r="AB18" s="71">
        <v>0.0</v>
      </c>
      <c r="AC18" s="68">
        <f t="shared" si="11"/>
        <v>0</v>
      </c>
      <c r="AD18" s="71">
        <f t="shared" ref="AD18:AE18" si="53">AA18*0.95</f>
        <v>0</v>
      </c>
      <c r="AE18" s="71">
        <f t="shared" si="53"/>
        <v>0</v>
      </c>
      <c r="AF18" s="68">
        <f t="shared" si="13"/>
        <v>0</v>
      </c>
      <c r="AG18" s="71">
        <v>0.0</v>
      </c>
      <c r="AH18" s="71">
        <v>0.0</v>
      </c>
      <c r="AI18" s="68">
        <f t="shared" si="14"/>
        <v>0</v>
      </c>
      <c r="AJ18" s="71">
        <f t="shared" ref="AJ18:AK18" si="54">AG18/1.05506</f>
        <v>0</v>
      </c>
      <c r="AK18" s="71">
        <f t="shared" si="54"/>
        <v>0</v>
      </c>
      <c r="AL18" s="68">
        <f t="shared" si="16"/>
        <v>0</v>
      </c>
    </row>
    <row r="19" ht="14.25" customHeight="1">
      <c r="B19" s="69">
        <v>45755.0</v>
      </c>
      <c r="C19" s="70"/>
      <c r="D19" s="70"/>
      <c r="E19" s="68">
        <f t="shared" si="1"/>
        <v>0</v>
      </c>
      <c r="F19" s="71">
        <v>1202.0</v>
      </c>
      <c r="G19" s="71">
        <v>0.0</v>
      </c>
      <c r="H19" s="68">
        <f t="shared" si="17"/>
        <v>1202</v>
      </c>
      <c r="I19" s="73">
        <f t="shared" ref="I19:J19" si="55">F19*55000*0.35/1000/0.55</f>
        <v>42070</v>
      </c>
      <c r="J19" s="73">
        <f t="shared" si="55"/>
        <v>0</v>
      </c>
      <c r="K19" s="68">
        <f t="shared" si="19"/>
        <v>42070</v>
      </c>
      <c r="L19" s="71">
        <v>13840.0</v>
      </c>
      <c r="M19" s="71">
        <v>0.0</v>
      </c>
      <c r="N19" s="68">
        <f t="shared" si="3"/>
        <v>13840</v>
      </c>
      <c r="O19" s="71">
        <v>1977.697841726619</v>
      </c>
      <c r="P19" s="71">
        <v>0.0</v>
      </c>
      <c r="Q19" s="68">
        <f t="shared" si="4"/>
        <v>1977.697842</v>
      </c>
      <c r="R19" s="71">
        <f t="shared" ref="R19:S19" si="56">L19-O19</f>
        <v>11862.30216</v>
      </c>
      <c r="S19" s="71">
        <f t="shared" si="56"/>
        <v>0</v>
      </c>
      <c r="T19" s="68">
        <f t="shared" si="6"/>
        <v>11862.30216</v>
      </c>
      <c r="U19" s="71">
        <f t="shared" ref="U19:V19" si="57">R19*0.55</f>
        <v>6524.266187</v>
      </c>
      <c r="V19" s="71">
        <f t="shared" si="57"/>
        <v>0</v>
      </c>
      <c r="W19" s="68">
        <f t="shared" si="8"/>
        <v>6524.266187</v>
      </c>
      <c r="X19" s="71">
        <f t="shared" ref="X19:Y19" si="58">U19/0.95</f>
        <v>6867.648618</v>
      </c>
      <c r="Y19" s="71">
        <f t="shared" si="58"/>
        <v>0</v>
      </c>
      <c r="Z19" s="68">
        <f t="shared" si="10"/>
        <v>6867.648618</v>
      </c>
      <c r="AA19" s="71">
        <v>2121.4972</v>
      </c>
      <c r="AB19" s="71">
        <v>0.0</v>
      </c>
      <c r="AC19" s="68">
        <f t="shared" si="11"/>
        <v>2121.4972</v>
      </c>
      <c r="AD19" s="71">
        <f t="shared" ref="AD19:AE19" si="59">AA19*0.95</f>
        <v>2015.42234</v>
      </c>
      <c r="AE19" s="71">
        <f t="shared" si="59"/>
        <v>0</v>
      </c>
      <c r="AF19" s="68">
        <f t="shared" si="13"/>
        <v>2015.42234</v>
      </c>
      <c r="AG19" s="71">
        <v>75.0</v>
      </c>
      <c r="AH19" s="71">
        <v>0.0</v>
      </c>
      <c r="AI19" s="68">
        <f t="shared" si="14"/>
        <v>75</v>
      </c>
      <c r="AJ19" s="71">
        <f t="shared" ref="AJ19:AK19" si="60">AG19/1.05506</f>
        <v>71.08600459</v>
      </c>
      <c r="AK19" s="71">
        <f t="shared" si="60"/>
        <v>0</v>
      </c>
      <c r="AL19" s="68">
        <f t="shared" si="16"/>
        <v>71.08600459</v>
      </c>
    </row>
    <row r="20" ht="14.25" customHeight="1">
      <c r="B20" s="69">
        <v>45756.0</v>
      </c>
      <c r="C20" s="70"/>
      <c r="D20" s="70"/>
      <c r="E20" s="68">
        <f t="shared" si="1"/>
        <v>0</v>
      </c>
      <c r="F20" s="71">
        <v>1493.0</v>
      </c>
      <c r="G20" s="71">
        <v>0.0</v>
      </c>
      <c r="H20" s="68">
        <f t="shared" si="17"/>
        <v>1493</v>
      </c>
      <c r="I20" s="73">
        <f t="shared" ref="I20:J20" si="61">F20*55000*0.35/1000/0.55</f>
        <v>52255</v>
      </c>
      <c r="J20" s="73">
        <f t="shared" si="61"/>
        <v>0</v>
      </c>
      <c r="K20" s="68">
        <f t="shared" si="19"/>
        <v>52255</v>
      </c>
      <c r="L20" s="71">
        <v>23811.0</v>
      </c>
      <c r="M20" s="71">
        <v>0.0</v>
      </c>
      <c r="N20" s="68">
        <f t="shared" si="3"/>
        <v>23811</v>
      </c>
      <c r="O20" s="71">
        <v>3113.6690647482014</v>
      </c>
      <c r="P20" s="71">
        <v>0.0</v>
      </c>
      <c r="Q20" s="68">
        <f t="shared" si="4"/>
        <v>3113.669065</v>
      </c>
      <c r="R20" s="71">
        <f t="shared" ref="R20:S20" si="62">L20-O20</f>
        <v>20697.33094</v>
      </c>
      <c r="S20" s="71">
        <f t="shared" si="62"/>
        <v>0</v>
      </c>
      <c r="T20" s="68">
        <f t="shared" si="6"/>
        <v>20697.33094</v>
      </c>
      <c r="U20" s="71">
        <f t="shared" ref="U20:V20" si="63">R20*0.55</f>
        <v>11383.53201</v>
      </c>
      <c r="V20" s="71">
        <f t="shared" si="63"/>
        <v>0</v>
      </c>
      <c r="W20" s="68">
        <f t="shared" si="8"/>
        <v>11383.53201</v>
      </c>
      <c r="X20" s="71">
        <f t="shared" ref="X20:Y20" si="64">U20/0.95</f>
        <v>11982.66528</v>
      </c>
      <c r="Y20" s="71">
        <f t="shared" si="64"/>
        <v>0</v>
      </c>
      <c r="Z20" s="68">
        <f t="shared" si="10"/>
        <v>11982.66528</v>
      </c>
      <c r="AA20" s="71">
        <v>2875.0176</v>
      </c>
      <c r="AB20" s="71">
        <v>0.0</v>
      </c>
      <c r="AC20" s="68">
        <f t="shared" si="11"/>
        <v>2875.0176</v>
      </c>
      <c r="AD20" s="71">
        <f t="shared" ref="AD20:AE20" si="65">AA20*0.95</f>
        <v>2731.26672</v>
      </c>
      <c r="AE20" s="71">
        <f t="shared" si="65"/>
        <v>0</v>
      </c>
      <c r="AF20" s="68">
        <f t="shared" si="13"/>
        <v>2731.26672</v>
      </c>
      <c r="AG20" s="71">
        <v>102.0</v>
      </c>
      <c r="AH20" s="71">
        <v>0.0</v>
      </c>
      <c r="AI20" s="68">
        <f t="shared" si="14"/>
        <v>102</v>
      </c>
      <c r="AJ20" s="71">
        <f t="shared" ref="AJ20:AK20" si="66">AG20/1.05506</f>
        <v>96.67696624</v>
      </c>
      <c r="AK20" s="71">
        <f t="shared" si="66"/>
        <v>0</v>
      </c>
      <c r="AL20" s="68">
        <f t="shared" si="16"/>
        <v>96.67696624</v>
      </c>
    </row>
    <row r="21" ht="14.25" customHeight="1">
      <c r="B21" s="69">
        <v>45757.0</v>
      </c>
      <c r="C21" s="70"/>
      <c r="D21" s="70"/>
      <c r="E21" s="68">
        <f t="shared" si="1"/>
        <v>0</v>
      </c>
      <c r="F21" s="71">
        <v>1207.0</v>
      </c>
      <c r="G21" s="71">
        <v>0.0</v>
      </c>
      <c r="H21" s="68">
        <f t="shared" si="17"/>
        <v>1207</v>
      </c>
      <c r="I21" s="73">
        <f t="shared" ref="I21:J21" si="67">F21*55000*0.35/1000/0.55</f>
        <v>42245</v>
      </c>
      <c r="J21" s="73">
        <f t="shared" si="67"/>
        <v>0</v>
      </c>
      <c r="K21" s="68">
        <f t="shared" si="19"/>
        <v>42245</v>
      </c>
      <c r="L21" s="71">
        <v>25448.0</v>
      </c>
      <c r="M21" s="71">
        <v>0.0</v>
      </c>
      <c r="N21" s="68">
        <f t="shared" si="3"/>
        <v>25448</v>
      </c>
      <c r="O21" s="71">
        <v>3210.791366906475</v>
      </c>
      <c r="P21" s="71">
        <v>0.0</v>
      </c>
      <c r="Q21" s="68">
        <f t="shared" si="4"/>
        <v>3210.791367</v>
      </c>
      <c r="R21" s="71">
        <f t="shared" ref="R21:S21" si="68">L21-O21</f>
        <v>22237.20863</v>
      </c>
      <c r="S21" s="71">
        <f t="shared" si="68"/>
        <v>0</v>
      </c>
      <c r="T21" s="68">
        <f t="shared" si="6"/>
        <v>22237.20863</v>
      </c>
      <c r="U21" s="71">
        <f t="shared" ref="U21:V21" si="69">R21*0.55</f>
        <v>12230.46475</v>
      </c>
      <c r="V21" s="71">
        <f t="shared" si="69"/>
        <v>0</v>
      </c>
      <c r="W21" s="68">
        <f t="shared" si="8"/>
        <v>12230.46475</v>
      </c>
      <c r="X21" s="71">
        <f t="shared" ref="X21:Y21" si="70">U21/0.95</f>
        <v>12874.17342</v>
      </c>
      <c r="Y21" s="71">
        <f t="shared" si="70"/>
        <v>0</v>
      </c>
      <c r="Z21" s="68">
        <f t="shared" si="10"/>
        <v>12874.17342</v>
      </c>
      <c r="AA21" s="71">
        <v>2569.5538</v>
      </c>
      <c r="AB21" s="71">
        <v>0.0</v>
      </c>
      <c r="AC21" s="68">
        <f t="shared" si="11"/>
        <v>2569.5538</v>
      </c>
      <c r="AD21" s="71">
        <f t="shared" ref="AD21:AE21" si="71">AA21*0.95</f>
        <v>2441.07611</v>
      </c>
      <c r="AE21" s="71">
        <f t="shared" si="71"/>
        <v>0</v>
      </c>
      <c r="AF21" s="68">
        <f t="shared" si="13"/>
        <v>2441.07611</v>
      </c>
      <c r="AG21" s="71">
        <v>91.0</v>
      </c>
      <c r="AH21" s="71">
        <v>0.0</v>
      </c>
      <c r="AI21" s="68">
        <f t="shared" si="14"/>
        <v>91</v>
      </c>
      <c r="AJ21" s="71">
        <f t="shared" ref="AJ21:AK21" si="72">AG21/1.05506</f>
        <v>86.2510189</v>
      </c>
      <c r="AK21" s="71">
        <f t="shared" si="72"/>
        <v>0</v>
      </c>
      <c r="AL21" s="68">
        <f t="shared" si="16"/>
        <v>86.2510189</v>
      </c>
    </row>
    <row r="22" ht="14.25" customHeight="1">
      <c r="B22" s="69">
        <v>45758.0</v>
      </c>
      <c r="C22" s="70"/>
      <c r="D22" s="70"/>
      <c r="E22" s="68">
        <f t="shared" si="1"/>
        <v>0</v>
      </c>
      <c r="F22" s="71">
        <v>1250.0</v>
      </c>
      <c r="G22" s="71">
        <v>0.0</v>
      </c>
      <c r="H22" s="68">
        <f t="shared" si="17"/>
        <v>1250</v>
      </c>
      <c r="I22" s="73">
        <f t="shared" ref="I22:J22" si="73">F22*55000*0.35/1000/0.55</f>
        <v>43750</v>
      </c>
      <c r="J22" s="73">
        <f t="shared" si="73"/>
        <v>0</v>
      </c>
      <c r="K22" s="68">
        <f t="shared" si="19"/>
        <v>43750</v>
      </c>
      <c r="L22" s="71">
        <v>27485.0</v>
      </c>
      <c r="M22" s="71">
        <v>0.0</v>
      </c>
      <c r="N22" s="68">
        <f t="shared" si="3"/>
        <v>27485</v>
      </c>
      <c r="O22" s="71">
        <v>3262.589928057554</v>
      </c>
      <c r="P22" s="71">
        <v>0.0</v>
      </c>
      <c r="Q22" s="68">
        <f t="shared" si="4"/>
        <v>3262.589928</v>
      </c>
      <c r="R22" s="71">
        <f t="shared" ref="R22:S22" si="74">L22-O22</f>
        <v>24222.41007</v>
      </c>
      <c r="S22" s="71">
        <f t="shared" si="74"/>
        <v>0</v>
      </c>
      <c r="T22" s="68">
        <f t="shared" si="6"/>
        <v>24222.41007</v>
      </c>
      <c r="U22" s="71">
        <f t="shared" ref="U22:V22" si="75">R22*0.55</f>
        <v>13322.32554</v>
      </c>
      <c r="V22" s="71">
        <f t="shared" si="75"/>
        <v>0</v>
      </c>
      <c r="W22" s="68">
        <f t="shared" si="8"/>
        <v>13322.32554</v>
      </c>
      <c r="X22" s="71">
        <f t="shared" ref="X22:Y22" si="76">U22/0.95</f>
        <v>14023.50057</v>
      </c>
      <c r="Y22" s="71">
        <f t="shared" si="76"/>
        <v>0</v>
      </c>
      <c r="Z22" s="68">
        <f t="shared" si="10"/>
        <v>14023.50057</v>
      </c>
      <c r="AA22" s="71">
        <v>3119.1532</v>
      </c>
      <c r="AB22" s="71">
        <v>0.0</v>
      </c>
      <c r="AC22" s="68">
        <f t="shared" si="11"/>
        <v>3119.1532</v>
      </c>
      <c r="AD22" s="71">
        <f t="shared" ref="AD22:AE22" si="77">AA22*0.95</f>
        <v>2963.19554</v>
      </c>
      <c r="AE22" s="71">
        <f t="shared" si="77"/>
        <v>0</v>
      </c>
      <c r="AF22" s="68">
        <f t="shared" si="13"/>
        <v>2963.19554</v>
      </c>
      <c r="AG22" s="71">
        <v>111.0</v>
      </c>
      <c r="AH22" s="71">
        <v>0.0</v>
      </c>
      <c r="AI22" s="68">
        <f t="shared" si="14"/>
        <v>111</v>
      </c>
      <c r="AJ22" s="71">
        <f t="shared" ref="AJ22:AK22" si="78">AG22/1.05506</f>
        <v>105.2072868</v>
      </c>
      <c r="AK22" s="71">
        <f t="shared" si="78"/>
        <v>0</v>
      </c>
      <c r="AL22" s="68">
        <f t="shared" si="16"/>
        <v>105.2072868</v>
      </c>
    </row>
    <row r="23" ht="14.25" customHeight="1">
      <c r="B23" s="69">
        <v>45759.0</v>
      </c>
      <c r="C23" s="70"/>
      <c r="D23" s="70"/>
      <c r="E23" s="68">
        <f t="shared" si="1"/>
        <v>0</v>
      </c>
      <c r="F23" s="71">
        <v>1284.0</v>
      </c>
      <c r="G23" s="71">
        <v>0.0</v>
      </c>
      <c r="H23" s="68">
        <f t="shared" si="17"/>
        <v>1284</v>
      </c>
      <c r="I23" s="73">
        <f t="shared" ref="I23:J23" si="79">F23*55000*0.35/1000/0.55</f>
        <v>44940</v>
      </c>
      <c r="J23" s="73">
        <f t="shared" si="79"/>
        <v>0</v>
      </c>
      <c r="K23" s="68">
        <f t="shared" si="19"/>
        <v>44940</v>
      </c>
      <c r="L23" s="71">
        <v>26910.0</v>
      </c>
      <c r="M23" s="71">
        <v>0.0</v>
      </c>
      <c r="N23" s="68">
        <f t="shared" si="3"/>
        <v>26910</v>
      </c>
      <c r="O23" s="71">
        <v>3254.676258992806</v>
      </c>
      <c r="P23" s="71">
        <v>0.0</v>
      </c>
      <c r="Q23" s="68">
        <f t="shared" si="4"/>
        <v>3254.676259</v>
      </c>
      <c r="R23" s="71">
        <f t="shared" ref="R23:S23" si="80">L23-O23</f>
        <v>23655.32374</v>
      </c>
      <c r="S23" s="71">
        <f t="shared" si="80"/>
        <v>0</v>
      </c>
      <c r="T23" s="68">
        <f t="shared" si="6"/>
        <v>23655.32374</v>
      </c>
      <c r="U23" s="71">
        <f t="shared" ref="U23:V23" si="81">R23*0.55</f>
        <v>13010.42806</v>
      </c>
      <c r="V23" s="71">
        <f t="shared" si="81"/>
        <v>0</v>
      </c>
      <c r="W23" s="68">
        <f t="shared" si="8"/>
        <v>13010.42806</v>
      </c>
      <c r="X23" s="71">
        <f t="shared" ref="X23:Y23" si="82">U23/0.95</f>
        <v>13695.18743</v>
      </c>
      <c r="Y23" s="71">
        <f t="shared" si="82"/>
        <v>0</v>
      </c>
      <c r="Z23" s="68">
        <f t="shared" si="10"/>
        <v>13695.18743</v>
      </c>
      <c r="AA23" s="71">
        <v>3673.0477</v>
      </c>
      <c r="AB23" s="71">
        <v>0.0</v>
      </c>
      <c r="AC23" s="68">
        <f t="shared" si="11"/>
        <v>3673.0477</v>
      </c>
      <c r="AD23" s="71">
        <f t="shared" ref="AD23:AE23" si="83">AA23*0.95</f>
        <v>3489.395315</v>
      </c>
      <c r="AE23" s="71">
        <f t="shared" si="83"/>
        <v>0</v>
      </c>
      <c r="AF23" s="68">
        <f t="shared" si="13"/>
        <v>3489.395315</v>
      </c>
      <c r="AG23" s="71">
        <v>131.0</v>
      </c>
      <c r="AH23" s="71">
        <v>0.0</v>
      </c>
      <c r="AI23" s="68">
        <f t="shared" si="14"/>
        <v>131</v>
      </c>
      <c r="AJ23" s="71">
        <f t="shared" ref="AJ23:AK23" si="84">AG23/1.05506</f>
        <v>124.1635547</v>
      </c>
      <c r="AK23" s="71">
        <f t="shared" si="84"/>
        <v>0</v>
      </c>
      <c r="AL23" s="68">
        <f t="shared" si="16"/>
        <v>124.1635547</v>
      </c>
    </row>
    <row r="24" ht="14.25" customHeight="1">
      <c r="B24" s="69">
        <v>45760.0</v>
      </c>
      <c r="C24" s="70"/>
      <c r="D24" s="70"/>
      <c r="E24" s="68">
        <f t="shared" si="1"/>
        <v>0</v>
      </c>
      <c r="F24" s="71">
        <v>470.0</v>
      </c>
      <c r="G24" s="71">
        <v>0.0</v>
      </c>
      <c r="H24" s="68">
        <f t="shared" si="17"/>
        <v>470</v>
      </c>
      <c r="I24" s="73">
        <f t="shared" ref="I24:J24" si="85">F24*55000*0.35/1000/0.55</f>
        <v>16450</v>
      </c>
      <c r="J24" s="73">
        <f t="shared" si="85"/>
        <v>0</v>
      </c>
      <c r="K24" s="68">
        <f t="shared" si="19"/>
        <v>16450</v>
      </c>
      <c r="L24" s="71">
        <v>25847.0</v>
      </c>
      <c r="M24" s="71">
        <v>0.0</v>
      </c>
      <c r="N24" s="68">
        <f t="shared" si="3"/>
        <v>25847</v>
      </c>
      <c r="O24" s="71">
        <v>3141.7266187050363</v>
      </c>
      <c r="P24" s="71">
        <v>0.0</v>
      </c>
      <c r="Q24" s="68">
        <f t="shared" si="4"/>
        <v>3141.726619</v>
      </c>
      <c r="R24" s="71">
        <f t="shared" ref="R24:S24" si="86">L24-O24</f>
        <v>22705.27338</v>
      </c>
      <c r="S24" s="71">
        <f t="shared" si="86"/>
        <v>0</v>
      </c>
      <c r="T24" s="68">
        <f t="shared" si="6"/>
        <v>22705.27338</v>
      </c>
      <c r="U24" s="71">
        <f t="shared" ref="U24:V24" si="87">R24*0.55</f>
        <v>12487.90036</v>
      </c>
      <c r="V24" s="71">
        <f t="shared" si="87"/>
        <v>0</v>
      </c>
      <c r="W24" s="68">
        <f t="shared" si="8"/>
        <v>12487.90036</v>
      </c>
      <c r="X24" s="71">
        <f t="shared" ref="X24:Y24" si="88">U24/0.95</f>
        <v>13145.15827</v>
      </c>
      <c r="Y24" s="71">
        <f t="shared" si="88"/>
        <v>0</v>
      </c>
      <c r="Z24" s="68">
        <f t="shared" si="10"/>
        <v>13145.15827</v>
      </c>
      <c r="AA24" s="71">
        <v>7198.6982</v>
      </c>
      <c r="AB24" s="71">
        <v>0.0</v>
      </c>
      <c r="AC24" s="68">
        <f t="shared" si="11"/>
        <v>7198.6982</v>
      </c>
      <c r="AD24" s="71">
        <f t="shared" ref="AD24:AE24" si="89">AA24*0.95</f>
        <v>6838.76329</v>
      </c>
      <c r="AE24" s="71">
        <f t="shared" si="89"/>
        <v>0</v>
      </c>
      <c r="AF24" s="68">
        <f t="shared" si="13"/>
        <v>6838.76329</v>
      </c>
      <c r="AG24" s="71">
        <v>256.0</v>
      </c>
      <c r="AH24" s="71">
        <v>0.0</v>
      </c>
      <c r="AI24" s="68">
        <f t="shared" si="14"/>
        <v>256</v>
      </c>
      <c r="AJ24" s="71">
        <f t="shared" ref="AJ24:AK24" si="90">AG24/1.05506</f>
        <v>242.640229</v>
      </c>
      <c r="AK24" s="71">
        <f t="shared" si="90"/>
        <v>0</v>
      </c>
      <c r="AL24" s="68">
        <f t="shared" si="16"/>
        <v>242.640229</v>
      </c>
    </row>
    <row r="25" ht="14.25" customHeight="1">
      <c r="B25" s="69">
        <v>45761.0</v>
      </c>
      <c r="C25" s="70"/>
      <c r="D25" s="70"/>
      <c r="E25" s="68">
        <f t="shared" si="1"/>
        <v>0</v>
      </c>
      <c r="F25" s="71">
        <v>517.0</v>
      </c>
      <c r="G25" s="71">
        <v>0.0</v>
      </c>
      <c r="H25" s="68">
        <f t="shared" si="17"/>
        <v>517</v>
      </c>
      <c r="I25" s="73">
        <f t="shared" ref="I25:J25" si="91">F25*55000*0.35/1000/0.55</f>
        <v>18095</v>
      </c>
      <c r="J25" s="73">
        <f t="shared" si="91"/>
        <v>0</v>
      </c>
      <c r="K25" s="68">
        <f t="shared" si="19"/>
        <v>18095</v>
      </c>
      <c r="L25" s="71">
        <v>25558.0</v>
      </c>
      <c r="M25" s="71">
        <v>0.0</v>
      </c>
      <c r="N25" s="68">
        <f t="shared" si="3"/>
        <v>25558</v>
      </c>
      <c r="O25" s="71">
        <v>3166.546762589928</v>
      </c>
      <c r="P25" s="71">
        <v>0.0</v>
      </c>
      <c r="Q25" s="68">
        <f t="shared" si="4"/>
        <v>3166.546763</v>
      </c>
      <c r="R25" s="71">
        <f t="shared" ref="R25:S25" si="92">L25-O25</f>
        <v>22391.45324</v>
      </c>
      <c r="S25" s="71">
        <f t="shared" si="92"/>
        <v>0</v>
      </c>
      <c r="T25" s="68">
        <f t="shared" si="6"/>
        <v>22391.45324</v>
      </c>
      <c r="U25" s="71">
        <f t="shared" ref="U25:V25" si="93">R25*0.55</f>
        <v>12315.29928</v>
      </c>
      <c r="V25" s="71">
        <f t="shared" si="93"/>
        <v>0</v>
      </c>
      <c r="W25" s="68">
        <f t="shared" si="8"/>
        <v>12315.29928</v>
      </c>
      <c r="X25" s="71">
        <f t="shared" ref="X25:Y25" si="94">U25/0.95</f>
        <v>12963.47293</v>
      </c>
      <c r="Y25" s="71">
        <f t="shared" si="94"/>
        <v>0</v>
      </c>
      <c r="Z25" s="68">
        <f t="shared" si="10"/>
        <v>12963.47293</v>
      </c>
      <c r="AA25" s="71">
        <v>4365.9812</v>
      </c>
      <c r="AB25" s="71">
        <v>0.0</v>
      </c>
      <c r="AC25" s="68">
        <f t="shared" si="11"/>
        <v>4365.9812</v>
      </c>
      <c r="AD25" s="71">
        <f t="shared" ref="AD25:AE25" si="95">AA25*0.95</f>
        <v>4147.68214</v>
      </c>
      <c r="AE25" s="71">
        <f t="shared" si="95"/>
        <v>0</v>
      </c>
      <c r="AF25" s="68">
        <f t="shared" si="13"/>
        <v>4147.68214</v>
      </c>
      <c r="AG25" s="71">
        <v>152.0</v>
      </c>
      <c r="AH25" s="71">
        <v>0.0</v>
      </c>
      <c r="AI25" s="68">
        <f t="shared" si="14"/>
        <v>152</v>
      </c>
      <c r="AJ25" s="71">
        <f t="shared" ref="AJ25:AK25" si="96">AG25/1.05506</f>
        <v>144.067636</v>
      </c>
      <c r="AK25" s="71">
        <f t="shared" si="96"/>
        <v>0</v>
      </c>
      <c r="AL25" s="68">
        <f t="shared" si="16"/>
        <v>144.067636</v>
      </c>
    </row>
    <row r="26" ht="14.25" customHeight="1">
      <c r="B26" s="69">
        <v>45762.0</v>
      </c>
      <c r="C26" s="70"/>
      <c r="D26" s="70"/>
      <c r="E26" s="68">
        <f t="shared" si="1"/>
        <v>0</v>
      </c>
      <c r="F26" s="71">
        <v>1582.0</v>
      </c>
      <c r="G26" s="71">
        <v>0.0</v>
      </c>
      <c r="H26" s="68">
        <f t="shared" si="17"/>
        <v>1582</v>
      </c>
      <c r="I26" s="73">
        <f t="shared" ref="I26:J26" si="97">F26*55000*0.35/1000/0.55</f>
        <v>55370</v>
      </c>
      <c r="J26" s="73">
        <f t="shared" si="97"/>
        <v>0</v>
      </c>
      <c r="K26" s="68">
        <f t="shared" si="19"/>
        <v>55370</v>
      </c>
      <c r="L26" s="71">
        <v>24628.0</v>
      </c>
      <c r="M26" s="71">
        <v>0.0</v>
      </c>
      <c r="N26" s="68">
        <f t="shared" si="3"/>
        <v>24628</v>
      </c>
      <c r="O26" s="71">
        <v>3311.151079136691</v>
      </c>
      <c r="P26" s="71">
        <v>0.0</v>
      </c>
      <c r="Q26" s="68">
        <f t="shared" si="4"/>
        <v>3311.151079</v>
      </c>
      <c r="R26" s="71">
        <f t="shared" ref="R26:S26" si="98">L26-O26</f>
        <v>21316.84892</v>
      </c>
      <c r="S26" s="71">
        <f t="shared" si="98"/>
        <v>0</v>
      </c>
      <c r="T26" s="68">
        <f t="shared" si="6"/>
        <v>21316.84892</v>
      </c>
      <c r="U26" s="71">
        <f t="shared" ref="U26:V26" si="99">R26*0.55</f>
        <v>11724.26691</v>
      </c>
      <c r="V26" s="71">
        <f t="shared" si="99"/>
        <v>0</v>
      </c>
      <c r="W26" s="68">
        <f t="shared" si="8"/>
        <v>11724.26691</v>
      </c>
      <c r="X26" s="71">
        <f t="shared" ref="X26:Y26" si="100">U26/0.95</f>
        <v>12341.33359</v>
      </c>
      <c r="Y26" s="71">
        <f t="shared" si="100"/>
        <v>0</v>
      </c>
      <c r="Z26" s="68">
        <f t="shared" si="10"/>
        <v>12341.33359</v>
      </c>
      <c r="AA26" s="71">
        <v>2121.7914</v>
      </c>
      <c r="AB26" s="71">
        <v>0.0</v>
      </c>
      <c r="AC26" s="68">
        <f t="shared" si="11"/>
        <v>2121.7914</v>
      </c>
      <c r="AD26" s="71">
        <f t="shared" ref="AD26:AE26" si="101">AA26*0.95</f>
        <v>2015.70183</v>
      </c>
      <c r="AE26" s="71">
        <f t="shared" si="101"/>
        <v>0</v>
      </c>
      <c r="AF26" s="68">
        <f t="shared" si="13"/>
        <v>2015.70183</v>
      </c>
      <c r="AG26" s="71">
        <v>76.0</v>
      </c>
      <c r="AH26" s="71">
        <v>0.0</v>
      </c>
      <c r="AI26" s="68">
        <f t="shared" si="14"/>
        <v>76</v>
      </c>
      <c r="AJ26" s="71">
        <f t="shared" ref="AJ26:AK26" si="102">AG26/1.05506</f>
        <v>72.03381798</v>
      </c>
      <c r="AK26" s="71">
        <f t="shared" si="102"/>
        <v>0</v>
      </c>
      <c r="AL26" s="68">
        <f t="shared" si="16"/>
        <v>72.03381798</v>
      </c>
    </row>
    <row r="27" ht="14.25" customHeight="1">
      <c r="B27" s="69">
        <v>45763.0</v>
      </c>
      <c r="C27" s="70"/>
      <c r="D27" s="70"/>
      <c r="E27" s="68">
        <f t="shared" si="1"/>
        <v>0</v>
      </c>
      <c r="F27" s="71">
        <v>1366.0</v>
      </c>
      <c r="G27" s="71">
        <v>0.0</v>
      </c>
      <c r="H27" s="68">
        <f t="shared" si="17"/>
        <v>1366</v>
      </c>
      <c r="I27" s="73">
        <f t="shared" ref="I27:J27" si="103">F27*55000*0.35/1000/0.55</f>
        <v>47810</v>
      </c>
      <c r="J27" s="73">
        <f t="shared" si="103"/>
        <v>0</v>
      </c>
      <c r="K27" s="68">
        <f t="shared" si="19"/>
        <v>47810</v>
      </c>
      <c r="L27" s="71">
        <v>9432.0</v>
      </c>
      <c r="M27" s="71">
        <v>0.0</v>
      </c>
      <c r="N27" s="68">
        <f t="shared" si="3"/>
        <v>9432</v>
      </c>
      <c r="O27" s="71">
        <v>2316.906474820144</v>
      </c>
      <c r="P27" s="71">
        <v>0.0</v>
      </c>
      <c r="Q27" s="68">
        <f t="shared" si="4"/>
        <v>2316.906475</v>
      </c>
      <c r="R27" s="71">
        <f t="shared" ref="R27:S27" si="104">L27-O27</f>
        <v>7115.093525</v>
      </c>
      <c r="S27" s="71">
        <f t="shared" si="104"/>
        <v>0</v>
      </c>
      <c r="T27" s="68">
        <f t="shared" si="6"/>
        <v>7115.093525</v>
      </c>
      <c r="U27" s="71">
        <f t="shared" ref="U27:V27" si="105">R27*0.55</f>
        <v>3913.301439</v>
      </c>
      <c r="V27" s="71">
        <f t="shared" si="105"/>
        <v>0</v>
      </c>
      <c r="W27" s="68">
        <f t="shared" si="8"/>
        <v>3913.301439</v>
      </c>
      <c r="X27" s="71">
        <f t="shared" ref="X27:Y27" si="106">U27/0.95</f>
        <v>4119.264672</v>
      </c>
      <c r="Y27" s="71">
        <f t="shared" si="106"/>
        <v>0</v>
      </c>
      <c r="Z27" s="68">
        <f t="shared" si="10"/>
        <v>4119.264672</v>
      </c>
      <c r="AA27" s="71">
        <v>0.0</v>
      </c>
      <c r="AB27" s="71">
        <v>0.0</v>
      </c>
      <c r="AC27" s="68">
        <f t="shared" si="11"/>
        <v>0</v>
      </c>
      <c r="AD27" s="71">
        <f t="shared" ref="AD27:AE27" si="107">AA27*0.95</f>
        <v>0</v>
      </c>
      <c r="AE27" s="71">
        <f t="shared" si="107"/>
        <v>0</v>
      </c>
      <c r="AF27" s="68">
        <f t="shared" si="13"/>
        <v>0</v>
      </c>
      <c r="AG27" s="71">
        <v>0.0</v>
      </c>
      <c r="AH27" s="71">
        <v>0.0</v>
      </c>
      <c r="AI27" s="68">
        <f t="shared" si="14"/>
        <v>0</v>
      </c>
      <c r="AJ27" s="71">
        <f t="shared" ref="AJ27:AK27" si="108">AG27/1.05506</f>
        <v>0</v>
      </c>
      <c r="AK27" s="71">
        <f t="shared" si="108"/>
        <v>0</v>
      </c>
      <c r="AL27" s="68">
        <f t="shared" si="16"/>
        <v>0</v>
      </c>
    </row>
    <row r="28" ht="14.25" customHeight="1">
      <c r="B28" s="69">
        <v>45764.0</v>
      </c>
      <c r="C28" s="70"/>
      <c r="D28" s="70"/>
      <c r="E28" s="68">
        <f t="shared" si="1"/>
        <v>0</v>
      </c>
      <c r="F28" s="71">
        <v>1198.0</v>
      </c>
      <c r="G28" s="71">
        <v>0.0</v>
      </c>
      <c r="H28" s="68">
        <f t="shared" si="17"/>
        <v>1198</v>
      </c>
      <c r="I28" s="73">
        <f t="shared" ref="I28:J28" si="109">F28*55000*0.35/1000/0.55</f>
        <v>41930</v>
      </c>
      <c r="J28" s="73">
        <f t="shared" si="109"/>
        <v>0</v>
      </c>
      <c r="K28" s="68">
        <f t="shared" si="19"/>
        <v>41930</v>
      </c>
      <c r="L28" s="71">
        <v>10871.0</v>
      </c>
      <c r="M28" s="71">
        <v>0.0</v>
      </c>
      <c r="N28" s="68">
        <f t="shared" si="3"/>
        <v>10871</v>
      </c>
      <c r="O28" s="71">
        <v>1761.5107913669067</v>
      </c>
      <c r="P28" s="71">
        <v>0.0</v>
      </c>
      <c r="Q28" s="68">
        <f t="shared" si="4"/>
        <v>1761.510791</v>
      </c>
      <c r="R28" s="71">
        <f t="shared" ref="R28:S28" si="110">L28-O28</f>
        <v>9109.489209</v>
      </c>
      <c r="S28" s="71">
        <f t="shared" si="110"/>
        <v>0</v>
      </c>
      <c r="T28" s="68">
        <f t="shared" si="6"/>
        <v>9109.489209</v>
      </c>
      <c r="U28" s="71">
        <f t="shared" ref="U28:V28" si="111">R28*0.55</f>
        <v>5010.219065</v>
      </c>
      <c r="V28" s="71">
        <f t="shared" si="111"/>
        <v>0</v>
      </c>
      <c r="W28" s="68">
        <f t="shared" si="8"/>
        <v>5010.219065</v>
      </c>
      <c r="X28" s="71">
        <f t="shared" ref="X28:Y28" si="112">U28/0.95</f>
        <v>5273.914805</v>
      </c>
      <c r="Y28" s="71">
        <f t="shared" si="112"/>
        <v>0</v>
      </c>
      <c r="Z28" s="68">
        <f t="shared" si="10"/>
        <v>5273.914805</v>
      </c>
      <c r="AA28" s="71">
        <v>0.0</v>
      </c>
      <c r="AB28" s="71">
        <v>0.0</v>
      </c>
      <c r="AC28" s="68">
        <f t="shared" si="11"/>
        <v>0</v>
      </c>
      <c r="AD28" s="71">
        <f t="shared" ref="AD28:AE28" si="113">AA28*0.95</f>
        <v>0</v>
      </c>
      <c r="AE28" s="71">
        <f t="shared" si="113"/>
        <v>0</v>
      </c>
      <c r="AF28" s="68">
        <f t="shared" si="13"/>
        <v>0</v>
      </c>
      <c r="AG28" s="71">
        <v>0.0</v>
      </c>
      <c r="AH28" s="71">
        <v>0.0</v>
      </c>
      <c r="AI28" s="68">
        <f t="shared" si="14"/>
        <v>0</v>
      </c>
      <c r="AJ28" s="71">
        <f t="shared" ref="AJ28:AK28" si="114">AG28/1.05506</f>
        <v>0</v>
      </c>
      <c r="AK28" s="71">
        <f t="shared" si="114"/>
        <v>0</v>
      </c>
      <c r="AL28" s="68">
        <f t="shared" si="16"/>
        <v>0</v>
      </c>
    </row>
    <row r="29" ht="14.25" customHeight="1">
      <c r="B29" s="69">
        <v>45765.0</v>
      </c>
      <c r="C29" s="70"/>
      <c r="D29" s="70"/>
      <c r="E29" s="68">
        <f t="shared" si="1"/>
        <v>0</v>
      </c>
      <c r="F29" s="71">
        <v>1634.0</v>
      </c>
      <c r="G29" s="71">
        <v>0.0</v>
      </c>
      <c r="H29" s="68">
        <f t="shared" si="17"/>
        <v>1634</v>
      </c>
      <c r="I29" s="73">
        <f t="shared" ref="I29:J29" si="115">F29*55000*0.35/1000/0.55</f>
        <v>57190</v>
      </c>
      <c r="J29" s="73">
        <f t="shared" si="115"/>
        <v>0</v>
      </c>
      <c r="K29" s="68">
        <f t="shared" si="19"/>
        <v>57190</v>
      </c>
      <c r="L29" s="71">
        <v>20044.0</v>
      </c>
      <c r="M29" s="71">
        <v>0.0</v>
      </c>
      <c r="N29" s="68">
        <f t="shared" si="3"/>
        <v>20044</v>
      </c>
      <c r="O29" s="71">
        <v>2773.741007194245</v>
      </c>
      <c r="P29" s="71">
        <v>0.0</v>
      </c>
      <c r="Q29" s="68">
        <f t="shared" si="4"/>
        <v>2773.741007</v>
      </c>
      <c r="R29" s="71">
        <f t="shared" ref="R29:S29" si="116">L29-O29</f>
        <v>17270.25899</v>
      </c>
      <c r="S29" s="71">
        <f t="shared" si="116"/>
        <v>0</v>
      </c>
      <c r="T29" s="68">
        <f t="shared" si="6"/>
        <v>17270.25899</v>
      </c>
      <c r="U29" s="71">
        <f t="shared" ref="U29:V29" si="117">R29*0.55</f>
        <v>9498.642446</v>
      </c>
      <c r="V29" s="71">
        <f t="shared" si="117"/>
        <v>0</v>
      </c>
      <c r="W29" s="68">
        <f t="shared" si="8"/>
        <v>9498.642446</v>
      </c>
      <c r="X29" s="71">
        <f t="shared" ref="X29:Y29" si="118">U29/0.95</f>
        <v>9998.570996</v>
      </c>
      <c r="Y29" s="71">
        <f t="shared" si="118"/>
        <v>0</v>
      </c>
      <c r="Z29" s="68">
        <f t="shared" si="10"/>
        <v>9998.570996</v>
      </c>
      <c r="AA29" s="71">
        <v>3355.5711</v>
      </c>
      <c r="AB29" s="71">
        <v>0.0</v>
      </c>
      <c r="AC29" s="68">
        <f t="shared" si="11"/>
        <v>3355.5711</v>
      </c>
      <c r="AD29" s="71">
        <f t="shared" ref="AD29:AE29" si="119">AA29*0.95</f>
        <v>3187.792545</v>
      </c>
      <c r="AE29" s="71">
        <f t="shared" si="119"/>
        <v>0</v>
      </c>
      <c r="AF29" s="68">
        <f t="shared" si="13"/>
        <v>3187.792545</v>
      </c>
      <c r="AG29" s="71">
        <v>121.0</v>
      </c>
      <c r="AH29" s="71">
        <v>0.0</v>
      </c>
      <c r="AI29" s="68">
        <f t="shared" si="14"/>
        <v>121</v>
      </c>
      <c r="AJ29" s="71">
        <f t="shared" ref="AJ29:AK29" si="120">AG29/1.05506</f>
        <v>114.6854207</v>
      </c>
      <c r="AK29" s="71">
        <f t="shared" si="120"/>
        <v>0</v>
      </c>
      <c r="AL29" s="68">
        <f t="shared" si="16"/>
        <v>114.6854207</v>
      </c>
    </row>
    <row r="30" ht="14.25" customHeight="1">
      <c r="B30" s="69">
        <v>45766.0</v>
      </c>
      <c r="C30" s="70"/>
      <c r="D30" s="70"/>
      <c r="E30" s="68">
        <f t="shared" si="1"/>
        <v>0</v>
      </c>
      <c r="F30" s="71">
        <v>1406.0</v>
      </c>
      <c r="G30" s="71">
        <v>0.0</v>
      </c>
      <c r="H30" s="68">
        <f t="shared" si="17"/>
        <v>1406</v>
      </c>
      <c r="I30" s="73">
        <f t="shared" ref="I30:J30" si="121">F30*55000*0.35/1000/0.55</f>
        <v>49210</v>
      </c>
      <c r="J30" s="73">
        <f t="shared" si="121"/>
        <v>0</v>
      </c>
      <c r="K30" s="68">
        <f t="shared" si="19"/>
        <v>49210</v>
      </c>
      <c r="L30" s="71">
        <v>25548.0</v>
      </c>
      <c r="M30" s="71">
        <v>0.0</v>
      </c>
      <c r="N30" s="68">
        <f t="shared" si="3"/>
        <v>25548</v>
      </c>
      <c r="O30" s="71">
        <v>3708.273381294964</v>
      </c>
      <c r="P30" s="71">
        <v>0.0</v>
      </c>
      <c r="Q30" s="68">
        <f t="shared" si="4"/>
        <v>3708.273381</v>
      </c>
      <c r="R30" s="71">
        <f t="shared" ref="R30:S30" si="122">L30-O30</f>
        <v>21839.72662</v>
      </c>
      <c r="S30" s="71">
        <f t="shared" si="122"/>
        <v>0</v>
      </c>
      <c r="T30" s="68">
        <f t="shared" si="6"/>
        <v>21839.72662</v>
      </c>
      <c r="U30" s="71">
        <f t="shared" ref="U30:V30" si="123">R30*0.55</f>
        <v>12011.84964</v>
      </c>
      <c r="V30" s="71">
        <f t="shared" si="123"/>
        <v>0</v>
      </c>
      <c r="W30" s="68">
        <f t="shared" si="8"/>
        <v>12011.84964</v>
      </c>
      <c r="X30" s="71">
        <f t="shared" ref="X30:Y30" si="124">U30/0.95</f>
        <v>12644.05225</v>
      </c>
      <c r="Y30" s="71">
        <f t="shared" si="124"/>
        <v>0</v>
      </c>
      <c r="Z30" s="68">
        <f t="shared" si="10"/>
        <v>12644.05225</v>
      </c>
      <c r="AA30" s="71">
        <v>4472.0078</v>
      </c>
      <c r="AB30" s="71">
        <v>0.0</v>
      </c>
      <c r="AC30" s="68">
        <f t="shared" si="11"/>
        <v>4472.0078</v>
      </c>
      <c r="AD30" s="71">
        <f t="shared" ref="AD30:AE30" si="125">AA30*0.95</f>
        <v>4248.40741</v>
      </c>
      <c r="AE30" s="71">
        <f t="shared" si="125"/>
        <v>0</v>
      </c>
      <c r="AF30" s="68">
        <f t="shared" si="13"/>
        <v>4248.40741</v>
      </c>
      <c r="AG30" s="71">
        <v>158.0</v>
      </c>
      <c r="AH30" s="71">
        <v>0.0</v>
      </c>
      <c r="AI30" s="68">
        <f t="shared" si="14"/>
        <v>158</v>
      </c>
      <c r="AJ30" s="71">
        <f t="shared" ref="AJ30:AK30" si="126">AG30/1.05506</f>
        <v>149.7545163</v>
      </c>
      <c r="AK30" s="71">
        <f t="shared" si="126"/>
        <v>0</v>
      </c>
      <c r="AL30" s="68">
        <f t="shared" si="16"/>
        <v>149.7545163</v>
      </c>
    </row>
    <row r="31" ht="14.25" customHeight="1">
      <c r="B31" s="69">
        <v>45767.0</v>
      </c>
      <c r="C31" s="70"/>
      <c r="D31" s="70"/>
      <c r="E31" s="68">
        <f t="shared" si="1"/>
        <v>0</v>
      </c>
      <c r="F31" s="71">
        <v>374.0</v>
      </c>
      <c r="G31" s="71">
        <v>0.0</v>
      </c>
      <c r="H31" s="68">
        <f t="shared" si="17"/>
        <v>374</v>
      </c>
      <c r="I31" s="73">
        <f t="shared" ref="I31:J31" si="127">F31*55000*0.35/1000/0.55</f>
        <v>13090</v>
      </c>
      <c r="J31" s="73">
        <f t="shared" si="127"/>
        <v>0</v>
      </c>
      <c r="K31" s="68">
        <f t="shared" si="19"/>
        <v>13090</v>
      </c>
      <c r="L31" s="71">
        <v>25056.0</v>
      </c>
      <c r="M31" s="71">
        <v>0.0</v>
      </c>
      <c r="N31" s="68">
        <f t="shared" si="3"/>
        <v>25056</v>
      </c>
      <c r="O31" s="71">
        <v>3731.294964028777</v>
      </c>
      <c r="P31" s="71">
        <v>0.0</v>
      </c>
      <c r="Q31" s="68">
        <f t="shared" si="4"/>
        <v>3731.294964</v>
      </c>
      <c r="R31" s="71">
        <f t="shared" ref="R31:S31" si="128">L31-O31</f>
        <v>21324.70504</v>
      </c>
      <c r="S31" s="71">
        <f t="shared" si="128"/>
        <v>0</v>
      </c>
      <c r="T31" s="68">
        <f t="shared" si="6"/>
        <v>21324.70504</v>
      </c>
      <c r="U31" s="71">
        <f t="shared" ref="U31:V31" si="129">R31*0.55</f>
        <v>11728.58777</v>
      </c>
      <c r="V31" s="71">
        <f t="shared" si="129"/>
        <v>0</v>
      </c>
      <c r="W31" s="68">
        <f t="shared" si="8"/>
        <v>11728.58777</v>
      </c>
      <c r="X31" s="71">
        <f t="shared" ref="X31:Y31" si="130">U31/0.95</f>
        <v>12345.88186</v>
      </c>
      <c r="Y31" s="71">
        <f t="shared" si="130"/>
        <v>0</v>
      </c>
      <c r="Z31" s="68">
        <f t="shared" si="10"/>
        <v>12345.88186</v>
      </c>
      <c r="AA31" s="71">
        <v>3836.8824</v>
      </c>
      <c r="AB31" s="71">
        <v>0.0</v>
      </c>
      <c r="AC31" s="68">
        <f t="shared" si="11"/>
        <v>3836.8824</v>
      </c>
      <c r="AD31" s="71">
        <f t="shared" ref="AD31:AE31" si="131">AA31*0.95</f>
        <v>3645.03828</v>
      </c>
      <c r="AE31" s="71">
        <f t="shared" si="131"/>
        <v>0</v>
      </c>
      <c r="AF31" s="68">
        <f t="shared" si="13"/>
        <v>3645.03828</v>
      </c>
      <c r="AG31" s="71">
        <v>135.0</v>
      </c>
      <c r="AH31" s="71">
        <v>0.0</v>
      </c>
      <c r="AI31" s="68">
        <f t="shared" si="14"/>
        <v>135</v>
      </c>
      <c r="AJ31" s="71">
        <f t="shared" ref="AJ31:AK31" si="132">AG31/1.05506</f>
        <v>127.9548083</v>
      </c>
      <c r="AK31" s="71">
        <f t="shared" si="132"/>
        <v>0</v>
      </c>
      <c r="AL31" s="68">
        <f t="shared" si="16"/>
        <v>127.9548083</v>
      </c>
    </row>
    <row r="32" ht="14.25" customHeight="1">
      <c r="B32" s="69">
        <v>45768.0</v>
      </c>
      <c r="C32" s="70"/>
      <c r="D32" s="70"/>
      <c r="E32" s="68">
        <f t="shared" si="1"/>
        <v>0</v>
      </c>
      <c r="F32" s="71">
        <v>840.0</v>
      </c>
      <c r="G32" s="71">
        <v>0.0</v>
      </c>
      <c r="H32" s="68">
        <f t="shared" si="17"/>
        <v>840</v>
      </c>
      <c r="I32" s="73">
        <f t="shared" ref="I32:J32" si="133">F32*55000*0.35/1000/0.55</f>
        <v>29400</v>
      </c>
      <c r="J32" s="73">
        <f t="shared" si="133"/>
        <v>0</v>
      </c>
      <c r="K32" s="68">
        <f t="shared" si="19"/>
        <v>29400</v>
      </c>
      <c r="L32" s="71">
        <v>25517.0</v>
      </c>
      <c r="M32" s="71">
        <v>0.0</v>
      </c>
      <c r="N32" s="68">
        <f t="shared" si="3"/>
        <v>25517</v>
      </c>
      <c r="O32" s="71">
        <v>3700.3597122302162</v>
      </c>
      <c r="P32" s="71">
        <v>0.0</v>
      </c>
      <c r="Q32" s="68">
        <f t="shared" si="4"/>
        <v>3700.359712</v>
      </c>
      <c r="R32" s="71">
        <f t="shared" ref="R32:S32" si="134">L32-O32</f>
        <v>21816.64029</v>
      </c>
      <c r="S32" s="71">
        <f t="shared" si="134"/>
        <v>0</v>
      </c>
      <c r="T32" s="68">
        <f t="shared" si="6"/>
        <v>21816.64029</v>
      </c>
      <c r="U32" s="71">
        <f t="shared" ref="U32:V32" si="135">R32*0.55</f>
        <v>11999.15216</v>
      </c>
      <c r="V32" s="71">
        <f t="shared" si="135"/>
        <v>0</v>
      </c>
      <c r="W32" s="68">
        <f t="shared" si="8"/>
        <v>11999.15216</v>
      </c>
      <c r="X32" s="71">
        <f t="shared" ref="X32:Y32" si="136">U32/0.95</f>
        <v>12630.68648</v>
      </c>
      <c r="Y32" s="71">
        <f t="shared" si="136"/>
        <v>0</v>
      </c>
      <c r="Z32" s="68">
        <f t="shared" si="10"/>
        <v>12630.68648</v>
      </c>
      <c r="AA32" s="71">
        <v>3885.7005</v>
      </c>
      <c r="AB32" s="71">
        <v>0.0</v>
      </c>
      <c r="AC32" s="68">
        <f t="shared" si="11"/>
        <v>3885.7005</v>
      </c>
      <c r="AD32" s="71">
        <f t="shared" ref="AD32:AE32" si="137">AA32*0.95</f>
        <v>3691.415475</v>
      </c>
      <c r="AE32" s="71">
        <f t="shared" si="137"/>
        <v>0</v>
      </c>
      <c r="AF32" s="68">
        <f t="shared" si="13"/>
        <v>3691.415475</v>
      </c>
      <c r="AG32" s="71">
        <v>139.0</v>
      </c>
      <c r="AH32" s="71">
        <v>0.0</v>
      </c>
      <c r="AI32" s="68">
        <f t="shared" si="14"/>
        <v>139</v>
      </c>
      <c r="AJ32" s="71">
        <f t="shared" ref="AJ32:AK32" si="138">AG32/1.05506</f>
        <v>131.7460618</v>
      </c>
      <c r="AK32" s="71">
        <f t="shared" si="138"/>
        <v>0</v>
      </c>
      <c r="AL32" s="68">
        <f t="shared" si="16"/>
        <v>131.7460618</v>
      </c>
    </row>
    <row r="33" ht="14.25" customHeight="1">
      <c r="B33" s="69">
        <v>45769.0</v>
      </c>
      <c r="C33" s="70"/>
      <c r="D33" s="70"/>
      <c r="E33" s="68">
        <f t="shared" si="1"/>
        <v>0</v>
      </c>
      <c r="F33" s="71">
        <v>1766.0</v>
      </c>
      <c r="G33" s="71">
        <v>0.0</v>
      </c>
      <c r="H33" s="68">
        <f t="shared" si="17"/>
        <v>1766</v>
      </c>
      <c r="I33" s="73">
        <f t="shared" ref="I33:J33" si="139">F33*55000*0.35/1000/0.55</f>
        <v>61810</v>
      </c>
      <c r="J33" s="73">
        <f t="shared" si="139"/>
        <v>0</v>
      </c>
      <c r="K33" s="68">
        <f t="shared" si="19"/>
        <v>61810</v>
      </c>
      <c r="L33" s="71">
        <v>25953.0</v>
      </c>
      <c r="M33" s="71">
        <v>0.0</v>
      </c>
      <c r="N33" s="68">
        <f t="shared" si="3"/>
        <v>25953</v>
      </c>
      <c r="O33" s="71">
        <v>3496.402877697842</v>
      </c>
      <c r="P33" s="71">
        <v>0.0</v>
      </c>
      <c r="Q33" s="68">
        <f t="shared" si="4"/>
        <v>3496.402878</v>
      </c>
      <c r="R33" s="71">
        <f t="shared" ref="R33:S33" si="140">L33-O33</f>
        <v>22456.59712</v>
      </c>
      <c r="S33" s="71">
        <f t="shared" si="140"/>
        <v>0</v>
      </c>
      <c r="T33" s="68">
        <f t="shared" si="6"/>
        <v>22456.59712</v>
      </c>
      <c r="U33" s="71">
        <f t="shared" ref="U33:V33" si="141">R33*0.55</f>
        <v>12351.12842</v>
      </c>
      <c r="V33" s="71">
        <f t="shared" si="141"/>
        <v>0</v>
      </c>
      <c r="W33" s="68">
        <f t="shared" si="8"/>
        <v>12351.12842</v>
      </c>
      <c r="X33" s="71">
        <f t="shared" ref="X33:Y33" si="142">U33/0.95</f>
        <v>13001.18781</v>
      </c>
      <c r="Y33" s="71">
        <f t="shared" si="142"/>
        <v>0</v>
      </c>
      <c r="Z33" s="68">
        <f t="shared" si="10"/>
        <v>13001.18781</v>
      </c>
      <c r="AA33" s="71">
        <v>3401.0912</v>
      </c>
      <c r="AB33" s="71">
        <v>0.0</v>
      </c>
      <c r="AC33" s="68">
        <f t="shared" si="11"/>
        <v>3401.0912</v>
      </c>
      <c r="AD33" s="71">
        <f t="shared" ref="AD33:AE33" si="143">AA33*0.95</f>
        <v>3231.03664</v>
      </c>
      <c r="AE33" s="71">
        <f t="shared" si="143"/>
        <v>0</v>
      </c>
      <c r="AF33" s="68">
        <f t="shared" si="13"/>
        <v>3231.03664</v>
      </c>
      <c r="AG33" s="71">
        <v>121.0</v>
      </c>
      <c r="AH33" s="71">
        <v>0.0</v>
      </c>
      <c r="AI33" s="68">
        <f t="shared" si="14"/>
        <v>121</v>
      </c>
      <c r="AJ33" s="71">
        <f t="shared" ref="AJ33:AK33" si="144">AG33/1.05506</f>
        <v>114.6854207</v>
      </c>
      <c r="AK33" s="71">
        <f t="shared" si="144"/>
        <v>0</v>
      </c>
      <c r="AL33" s="68">
        <f t="shared" si="16"/>
        <v>114.6854207</v>
      </c>
    </row>
    <row r="34" ht="14.25" customHeight="1">
      <c r="B34" s="69">
        <v>45770.0</v>
      </c>
      <c r="C34" s="70"/>
      <c r="D34" s="70"/>
      <c r="E34" s="68">
        <f t="shared" si="1"/>
        <v>0</v>
      </c>
      <c r="F34" s="71">
        <v>1319.0</v>
      </c>
      <c r="G34" s="71">
        <v>0.0</v>
      </c>
      <c r="H34" s="68">
        <f t="shared" si="17"/>
        <v>1319</v>
      </c>
      <c r="I34" s="73">
        <f t="shared" ref="I34:J34" si="145">F34*55000*0.35/1000/0.55</f>
        <v>46165</v>
      </c>
      <c r="J34" s="73">
        <f t="shared" si="145"/>
        <v>0</v>
      </c>
      <c r="K34" s="68">
        <f t="shared" si="19"/>
        <v>46165</v>
      </c>
      <c r="L34" s="71">
        <v>26229.0</v>
      </c>
      <c r="M34" s="71">
        <v>0.0</v>
      </c>
      <c r="N34" s="68">
        <f t="shared" si="3"/>
        <v>26229</v>
      </c>
      <c r="O34" s="71">
        <v>3119.064748201439</v>
      </c>
      <c r="P34" s="71">
        <v>0.0</v>
      </c>
      <c r="Q34" s="68">
        <f t="shared" si="4"/>
        <v>3119.064748</v>
      </c>
      <c r="R34" s="71">
        <f t="shared" ref="R34:S34" si="146">L34-O34</f>
        <v>23109.93525</v>
      </c>
      <c r="S34" s="71">
        <f t="shared" si="146"/>
        <v>0</v>
      </c>
      <c r="T34" s="68">
        <f t="shared" si="6"/>
        <v>23109.93525</v>
      </c>
      <c r="U34" s="71">
        <f t="shared" ref="U34:V34" si="147">R34*0.55</f>
        <v>12710.46439</v>
      </c>
      <c r="V34" s="71">
        <f t="shared" si="147"/>
        <v>0</v>
      </c>
      <c r="W34" s="68">
        <f t="shared" si="8"/>
        <v>12710.46439</v>
      </c>
      <c r="X34" s="71">
        <f t="shared" ref="X34:Y34" si="148">U34/0.95</f>
        <v>13379.4362</v>
      </c>
      <c r="Y34" s="71">
        <f t="shared" si="148"/>
        <v>0</v>
      </c>
      <c r="Z34" s="68">
        <f t="shared" si="10"/>
        <v>13379.4362</v>
      </c>
      <c r="AA34" s="71">
        <v>3205.1417</v>
      </c>
      <c r="AB34" s="71">
        <v>0.0</v>
      </c>
      <c r="AC34" s="68">
        <f t="shared" si="11"/>
        <v>3205.1417</v>
      </c>
      <c r="AD34" s="71">
        <f t="shared" ref="AD34:AE34" si="149">AA34*0.95</f>
        <v>3044.884615</v>
      </c>
      <c r="AE34" s="71">
        <f t="shared" si="149"/>
        <v>0</v>
      </c>
      <c r="AF34" s="68">
        <f t="shared" si="13"/>
        <v>3044.884615</v>
      </c>
      <c r="AG34" s="71">
        <v>114.0</v>
      </c>
      <c r="AH34" s="71">
        <v>0.0</v>
      </c>
      <c r="AI34" s="68">
        <f t="shared" si="14"/>
        <v>114</v>
      </c>
      <c r="AJ34" s="71">
        <f t="shared" ref="AJ34:AK34" si="150">AG34/1.05506</f>
        <v>108.050727</v>
      </c>
      <c r="AK34" s="71">
        <f t="shared" si="150"/>
        <v>0</v>
      </c>
      <c r="AL34" s="68">
        <f t="shared" si="16"/>
        <v>108.050727</v>
      </c>
    </row>
    <row r="35" ht="14.25" customHeight="1">
      <c r="B35" s="69">
        <v>45771.0</v>
      </c>
      <c r="C35" s="70"/>
      <c r="D35" s="70"/>
      <c r="E35" s="68">
        <f t="shared" si="1"/>
        <v>0</v>
      </c>
      <c r="F35" s="71">
        <v>1101.0</v>
      </c>
      <c r="G35" s="71">
        <v>0.0</v>
      </c>
      <c r="H35" s="68">
        <f t="shared" si="17"/>
        <v>1101</v>
      </c>
      <c r="I35" s="73">
        <f t="shared" ref="I35:J35" si="151">F35*55000*0.35/1000/0.55</f>
        <v>38535</v>
      </c>
      <c r="J35" s="73">
        <f t="shared" si="151"/>
        <v>0</v>
      </c>
      <c r="K35" s="68">
        <f t="shared" si="19"/>
        <v>38535</v>
      </c>
      <c r="L35" s="71">
        <v>25400.0</v>
      </c>
      <c r="M35" s="71">
        <v>0.0</v>
      </c>
      <c r="N35" s="68">
        <f t="shared" si="3"/>
        <v>25400</v>
      </c>
      <c r="O35" s="71">
        <v>3230.9352517985612</v>
      </c>
      <c r="P35" s="71">
        <v>0.0</v>
      </c>
      <c r="Q35" s="68">
        <f t="shared" si="4"/>
        <v>3230.935252</v>
      </c>
      <c r="R35" s="71">
        <f t="shared" ref="R35:S35" si="152">L35-O35</f>
        <v>22169.06475</v>
      </c>
      <c r="S35" s="71">
        <f t="shared" si="152"/>
        <v>0</v>
      </c>
      <c r="T35" s="68">
        <f t="shared" si="6"/>
        <v>22169.06475</v>
      </c>
      <c r="U35" s="71">
        <f t="shared" ref="U35:V35" si="153">R35*0.55</f>
        <v>12192.98561</v>
      </c>
      <c r="V35" s="71">
        <f t="shared" si="153"/>
        <v>0</v>
      </c>
      <c r="W35" s="68">
        <f t="shared" si="8"/>
        <v>12192.98561</v>
      </c>
      <c r="X35" s="71">
        <f t="shared" ref="X35:Y35" si="154">U35/0.95</f>
        <v>12834.7217</v>
      </c>
      <c r="Y35" s="71">
        <f t="shared" si="154"/>
        <v>0</v>
      </c>
      <c r="Z35" s="68">
        <f t="shared" si="10"/>
        <v>12834.7217</v>
      </c>
      <c r="AA35" s="71">
        <v>4884.9923</v>
      </c>
      <c r="AB35" s="71">
        <v>0.0</v>
      </c>
      <c r="AC35" s="68">
        <f t="shared" si="11"/>
        <v>4884.9923</v>
      </c>
      <c r="AD35" s="71">
        <f t="shared" ref="AD35:AE35" si="155">AA35*0.95</f>
        <v>4640.742685</v>
      </c>
      <c r="AE35" s="71">
        <f t="shared" si="155"/>
        <v>0</v>
      </c>
      <c r="AF35" s="68">
        <f t="shared" si="13"/>
        <v>4640.742685</v>
      </c>
      <c r="AG35" s="71">
        <v>175.0</v>
      </c>
      <c r="AH35" s="71">
        <v>0.0</v>
      </c>
      <c r="AI35" s="68">
        <f t="shared" si="14"/>
        <v>175</v>
      </c>
      <c r="AJ35" s="71">
        <f t="shared" ref="AJ35:AK35" si="156">AG35/1.05506</f>
        <v>165.867344</v>
      </c>
      <c r="AK35" s="71">
        <f t="shared" si="156"/>
        <v>0</v>
      </c>
      <c r="AL35" s="68">
        <f t="shared" si="16"/>
        <v>165.867344</v>
      </c>
    </row>
    <row r="36" ht="14.25" customHeight="1">
      <c r="B36" s="69">
        <v>45772.0</v>
      </c>
      <c r="C36" s="70"/>
      <c r="D36" s="70"/>
      <c r="E36" s="68">
        <f t="shared" si="1"/>
        <v>0</v>
      </c>
      <c r="F36" s="71">
        <v>1248.0</v>
      </c>
      <c r="G36" s="71">
        <v>0.0</v>
      </c>
      <c r="H36" s="68">
        <f t="shared" si="17"/>
        <v>1248</v>
      </c>
      <c r="I36" s="73">
        <f t="shared" ref="I36:J36" si="157">F36*55000*0.35/1000/0.55</f>
        <v>43680</v>
      </c>
      <c r="J36" s="73">
        <f t="shared" si="157"/>
        <v>0</v>
      </c>
      <c r="K36" s="68">
        <f t="shared" si="19"/>
        <v>43680</v>
      </c>
      <c r="L36" s="71">
        <v>24952.0</v>
      </c>
      <c r="M36" s="71">
        <v>0.0</v>
      </c>
      <c r="N36" s="68">
        <f t="shared" si="3"/>
        <v>24952</v>
      </c>
      <c r="O36" s="71">
        <v>3110.791366906475</v>
      </c>
      <c r="P36" s="71">
        <v>0.0</v>
      </c>
      <c r="Q36" s="68">
        <f t="shared" si="4"/>
        <v>3110.791367</v>
      </c>
      <c r="R36" s="71">
        <f t="shared" ref="R36:S36" si="158">L36-O36</f>
        <v>21841.20863</v>
      </c>
      <c r="S36" s="71">
        <f t="shared" si="158"/>
        <v>0</v>
      </c>
      <c r="T36" s="68">
        <f t="shared" si="6"/>
        <v>21841.20863</v>
      </c>
      <c r="U36" s="71">
        <f t="shared" ref="U36:V36" si="159">R36*0.55</f>
        <v>12012.66475</v>
      </c>
      <c r="V36" s="71">
        <f t="shared" si="159"/>
        <v>0</v>
      </c>
      <c r="W36" s="68">
        <f t="shared" si="8"/>
        <v>12012.66475</v>
      </c>
      <c r="X36" s="71">
        <f t="shared" ref="X36:Y36" si="160">U36/0.95</f>
        <v>12644.91026</v>
      </c>
      <c r="Y36" s="71">
        <f t="shared" si="160"/>
        <v>0</v>
      </c>
      <c r="Z36" s="68">
        <f t="shared" si="10"/>
        <v>12644.91026</v>
      </c>
      <c r="AA36" s="71">
        <v>5070.5484</v>
      </c>
      <c r="AB36" s="71">
        <v>0.0</v>
      </c>
      <c r="AC36" s="68">
        <f t="shared" si="11"/>
        <v>5070.5484</v>
      </c>
      <c r="AD36" s="71">
        <f t="shared" ref="AD36:AE36" si="161">AA36*0.95</f>
        <v>4817.02098</v>
      </c>
      <c r="AE36" s="71">
        <f t="shared" si="161"/>
        <v>0</v>
      </c>
      <c r="AF36" s="68">
        <f t="shared" si="13"/>
        <v>4817.02098</v>
      </c>
      <c r="AG36" s="71">
        <v>181.0</v>
      </c>
      <c r="AH36" s="71">
        <v>0.0</v>
      </c>
      <c r="AI36" s="68">
        <f t="shared" si="14"/>
        <v>181</v>
      </c>
      <c r="AJ36" s="71">
        <f t="shared" ref="AJ36:AK36" si="162">AG36/1.05506</f>
        <v>171.5542244</v>
      </c>
      <c r="AK36" s="71">
        <f t="shared" si="162"/>
        <v>0</v>
      </c>
      <c r="AL36" s="68">
        <f t="shared" si="16"/>
        <v>171.5542244</v>
      </c>
    </row>
    <row r="37" ht="14.25" customHeight="1">
      <c r="B37" s="69">
        <v>45773.0</v>
      </c>
      <c r="C37" s="70"/>
      <c r="D37" s="70"/>
      <c r="E37" s="68">
        <f t="shared" si="1"/>
        <v>0</v>
      </c>
      <c r="F37" s="71">
        <v>1213.0</v>
      </c>
      <c r="G37" s="71">
        <v>0.0</v>
      </c>
      <c r="H37" s="68">
        <f t="shared" si="17"/>
        <v>1213</v>
      </c>
      <c r="I37" s="73">
        <f t="shared" ref="I37:J37" si="163">F37*55000*0.35/1000/0.55</f>
        <v>42455</v>
      </c>
      <c r="J37" s="73">
        <f t="shared" si="163"/>
        <v>0</v>
      </c>
      <c r="K37" s="68">
        <f t="shared" si="19"/>
        <v>42455</v>
      </c>
      <c r="L37" s="71">
        <v>25060.0</v>
      </c>
      <c r="M37" s="71">
        <v>0.0</v>
      </c>
      <c r="N37" s="68">
        <f t="shared" si="3"/>
        <v>25060</v>
      </c>
      <c r="O37" s="71">
        <v>3134.5323741007196</v>
      </c>
      <c r="P37" s="71">
        <v>0.0</v>
      </c>
      <c r="Q37" s="68">
        <f t="shared" si="4"/>
        <v>3134.532374</v>
      </c>
      <c r="R37" s="71">
        <f t="shared" ref="R37:S37" si="164">L37-O37</f>
        <v>21925.46763</v>
      </c>
      <c r="S37" s="71">
        <f t="shared" si="164"/>
        <v>0</v>
      </c>
      <c r="T37" s="68">
        <f t="shared" si="6"/>
        <v>21925.46763</v>
      </c>
      <c r="U37" s="71">
        <f t="shared" ref="U37:V37" si="165">R37*0.55</f>
        <v>12059.00719</v>
      </c>
      <c r="V37" s="71">
        <f t="shared" si="165"/>
        <v>0</v>
      </c>
      <c r="W37" s="68">
        <f t="shared" si="8"/>
        <v>12059.00719</v>
      </c>
      <c r="X37" s="71">
        <f t="shared" ref="X37:Y37" si="166">U37/0.95</f>
        <v>12693.69178</v>
      </c>
      <c r="Y37" s="71">
        <f t="shared" si="166"/>
        <v>0</v>
      </c>
      <c r="Z37" s="68">
        <f t="shared" si="10"/>
        <v>12693.69178</v>
      </c>
      <c r="AA37" s="71">
        <v>4720.7745</v>
      </c>
      <c r="AB37" s="71">
        <v>0.0</v>
      </c>
      <c r="AC37" s="68">
        <f t="shared" si="11"/>
        <v>4720.7745</v>
      </c>
      <c r="AD37" s="71">
        <f t="shared" ref="AD37:AE37" si="167">AA37*0.95</f>
        <v>4484.735775</v>
      </c>
      <c r="AE37" s="71">
        <f t="shared" si="167"/>
        <v>0</v>
      </c>
      <c r="AF37" s="68">
        <f t="shared" si="13"/>
        <v>4484.735775</v>
      </c>
      <c r="AG37" s="71">
        <v>168.0</v>
      </c>
      <c r="AH37" s="71">
        <v>0.0</v>
      </c>
      <c r="AI37" s="68">
        <f t="shared" si="14"/>
        <v>168</v>
      </c>
      <c r="AJ37" s="71">
        <f t="shared" ref="AJ37:AK37" si="168">AG37/1.05506</f>
        <v>159.2326503</v>
      </c>
      <c r="AK37" s="71">
        <f t="shared" si="168"/>
        <v>0</v>
      </c>
      <c r="AL37" s="68">
        <f t="shared" si="16"/>
        <v>159.2326503</v>
      </c>
    </row>
    <row r="38" ht="14.25" customHeight="1">
      <c r="B38" s="69">
        <v>45774.0</v>
      </c>
      <c r="C38" s="70"/>
      <c r="D38" s="70"/>
      <c r="E38" s="68">
        <f t="shared" si="1"/>
        <v>0</v>
      </c>
      <c r="F38" s="71">
        <v>277.0</v>
      </c>
      <c r="G38" s="71">
        <v>0.0</v>
      </c>
      <c r="H38" s="68">
        <f t="shared" si="17"/>
        <v>277</v>
      </c>
      <c r="I38" s="73">
        <f t="shared" ref="I38:J38" si="169">F38*55000*0.35/1000/0.55</f>
        <v>9695</v>
      </c>
      <c r="J38" s="73">
        <f t="shared" si="169"/>
        <v>0</v>
      </c>
      <c r="K38" s="68">
        <f t="shared" si="19"/>
        <v>9695</v>
      </c>
      <c r="L38" s="71">
        <v>24684.0</v>
      </c>
      <c r="M38" s="71">
        <v>0.0</v>
      </c>
      <c r="N38" s="68">
        <f t="shared" si="3"/>
        <v>24684</v>
      </c>
      <c r="O38" s="71">
        <v>3105.395683453238</v>
      </c>
      <c r="P38" s="71">
        <v>0.0</v>
      </c>
      <c r="Q38" s="68">
        <f t="shared" si="4"/>
        <v>3105.395683</v>
      </c>
      <c r="R38" s="71">
        <f t="shared" ref="R38:S38" si="170">L38-O38</f>
        <v>21578.60432</v>
      </c>
      <c r="S38" s="71">
        <f t="shared" si="170"/>
        <v>0</v>
      </c>
      <c r="T38" s="68">
        <f t="shared" si="6"/>
        <v>21578.60432</v>
      </c>
      <c r="U38" s="71">
        <f t="shared" ref="U38:V38" si="171">R38*0.55</f>
        <v>11868.23237</v>
      </c>
      <c r="V38" s="71">
        <f t="shared" si="171"/>
        <v>0</v>
      </c>
      <c r="W38" s="68">
        <f t="shared" si="8"/>
        <v>11868.23237</v>
      </c>
      <c r="X38" s="71">
        <f t="shared" ref="X38:Y38" si="172">U38/0.95</f>
        <v>12492.87618</v>
      </c>
      <c r="Y38" s="71">
        <f t="shared" si="172"/>
        <v>0</v>
      </c>
      <c r="Z38" s="68">
        <f t="shared" si="10"/>
        <v>12492.87618</v>
      </c>
      <c r="AA38" s="71">
        <v>3694.9709</v>
      </c>
      <c r="AB38" s="71">
        <v>0.0</v>
      </c>
      <c r="AC38" s="68">
        <f t="shared" si="11"/>
        <v>3694.9709</v>
      </c>
      <c r="AD38" s="71">
        <f t="shared" ref="AD38:AE38" si="173">AA38*0.95</f>
        <v>3510.222355</v>
      </c>
      <c r="AE38" s="71">
        <f t="shared" si="173"/>
        <v>0</v>
      </c>
      <c r="AF38" s="68">
        <f t="shared" si="13"/>
        <v>3510.222355</v>
      </c>
      <c r="AG38" s="71">
        <v>131.0</v>
      </c>
      <c r="AH38" s="71">
        <v>0.0</v>
      </c>
      <c r="AI38" s="68">
        <f t="shared" si="14"/>
        <v>131</v>
      </c>
      <c r="AJ38" s="71">
        <f t="shared" ref="AJ38:AK38" si="174">AG38/1.05506</f>
        <v>124.1635547</v>
      </c>
      <c r="AK38" s="71">
        <f t="shared" si="174"/>
        <v>0</v>
      </c>
      <c r="AL38" s="68">
        <f t="shared" si="16"/>
        <v>124.1635547</v>
      </c>
    </row>
    <row r="39" ht="14.25" customHeight="1">
      <c r="B39" s="69">
        <v>45775.0</v>
      </c>
      <c r="C39" s="70"/>
      <c r="D39" s="70"/>
      <c r="E39" s="68">
        <f t="shared" si="1"/>
        <v>0</v>
      </c>
      <c r="F39" s="71">
        <v>912.0</v>
      </c>
      <c r="G39" s="71">
        <v>0.0</v>
      </c>
      <c r="H39" s="68">
        <f t="shared" si="17"/>
        <v>912</v>
      </c>
      <c r="I39" s="73">
        <f t="shared" ref="I39:J39" si="175">F37*55000*0.35/1000/0.55</f>
        <v>42455</v>
      </c>
      <c r="J39" s="73">
        <f t="shared" si="175"/>
        <v>0</v>
      </c>
      <c r="K39" s="68">
        <f t="shared" si="19"/>
        <v>42455</v>
      </c>
      <c r="L39" s="71">
        <v>25388.0</v>
      </c>
      <c r="M39" s="71">
        <v>0.0</v>
      </c>
      <c r="N39" s="68">
        <f t="shared" si="3"/>
        <v>25388</v>
      </c>
      <c r="O39" s="71">
        <v>3058.273381294964</v>
      </c>
      <c r="P39" s="71">
        <v>0.0</v>
      </c>
      <c r="Q39" s="68">
        <f t="shared" si="4"/>
        <v>3058.273381</v>
      </c>
      <c r="R39" s="71">
        <f t="shared" ref="R39:S39" si="176">L39-O39</f>
        <v>22329.72662</v>
      </c>
      <c r="S39" s="71">
        <f t="shared" si="176"/>
        <v>0</v>
      </c>
      <c r="T39" s="68">
        <f t="shared" si="6"/>
        <v>22329.72662</v>
      </c>
      <c r="U39" s="71">
        <f t="shared" ref="U39:V39" si="177">R39*0.55</f>
        <v>12281.34964</v>
      </c>
      <c r="V39" s="71">
        <f t="shared" si="177"/>
        <v>0</v>
      </c>
      <c r="W39" s="68">
        <f t="shared" si="8"/>
        <v>12281.34964</v>
      </c>
      <c r="X39" s="71">
        <f t="shared" ref="X39:Y39" si="178">U39/0.95</f>
        <v>12927.73646</v>
      </c>
      <c r="Y39" s="71">
        <f t="shared" si="178"/>
        <v>0</v>
      </c>
      <c r="Z39" s="68">
        <f t="shared" si="10"/>
        <v>12927.73646</v>
      </c>
      <c r="AA39" s="71">
        <v>4347.609</v>
      </c>
      <c r="AB39" s="71">
        <v>0.0</v>
      </c>
      <c r="AC39" s="68">
        <f t="shared" si="11"/>
        <v>4347.609</v>
      </c>
      <c r="AD39" s="71">
        <f t="shared" ref="AD39:AE39" si="179">AA39*0.95</f>
        <v>4130.22855</v>
      </c>
      <c r="AE39" s="71">
        <f t="shared" si="179"/>
        <v>0</v>
      </c>
      <c r="AF39" s="68">
        <f t="shared" si="13"/>
        <v>4130.22855</v>
      </c>
      <c r="AG39" s="71">
        <v>156.0</v>
      </c>
      <c r="AH39" s="71">
        <v>0.0</v>
      </c>
      <c r="AI39" s="68">
        <f t="shared" si="14"/>
        <v>156</v>
      </c>
      <c r="AJ39" s="71">
        <f t="shared" ref="AJ39:AK39" si="180">AG39/1.05506</f>
        <v>147.8588895</v>
      </c>
      <c r="AK39" s="71">
        <f t="shared" si="180"/>
        <v>0</v>
      </c>
      <c r="AL39" s="68">
        <f t="shared" si="16"/>
        <v>147.8588895</v>
      </c>
    </row>
    <row r="40" ht="14.25" customHeight="1">
      <c r="B40" s="69">
        <v>45776.0</v>
      </c>
      <c r="C40" s="70"/>
      <c r="D40" s="70"/>
      <c r="E40" s="68">
        <f t="shared" si="1"/>
        <v>0</v>
      </c>
      <c r="F40" s="71">
        <v>1473.0</v>
      </c>
      <c r="G40" s="71">
        <v>0.0</v>
      </c>
      <c r="H40" s="68">
        <f t="shared" si="17"/>
        <v>1473</v>
      </c>
      <c r="I40" s="73">
        <f t="shared" ref="I40:J40" si="181">F38*55000*0.35/1000/0.55</f>
        <v>9695</v>
      </c>
      <c r="J40" s="73">
        <f t="shared" si="181"/>
        <v>0</v>
      </c>
      <c r="K40" s="68">
        <f t="shared" si="19"/>
        <v>9695</v>
      </c>
      <c r="L40" s="71">
        <v>25705.0</v>
      </c>
      <c r="M40" s="71">
        <v>0.0</v>
      </c>
      <c r="N40" s="68">
        <f t="shared" si="3"/>
        <v>25705</v>
      </c>
      <c r="O40" s="71">
        <v>3157.1942446043167</v>
      </c>
      <c r="P40" s="71">
        <v>0.0</v>
      </c>
      <c r="Q40" s="68">
        <f t="shared" si="4"/>
        <v>3157.194245</v>
      </c>
      <c r="R40" s="71">
        <f t="shared" ref="R40:S40" si="182">L40-O40</f>
        <v>22547.80576</v>
      </c>
      <c r="S40" s="71">
        <f t="shared" si="182"/>
        <v>0</v>
      </c>
      <c r="T40" s="68">
        <f t="shared" si="6"/>
        <v>22547.80576</v>
      </c>
      <c r="U40" s="71">
        <f t="shared" ref="U40:V40" si="183">R40*0.55</f>
        <v>12401.29317</v>
      </c>
      <c r="V40" s="71">
        <f t="shared" si="183"/>
        <v>0</v>
      </c>
      <c r="W40" s="68">
        <f t="shared" si="8"/>
        <v>12401.29317</v>
      </c>
      <c r="X40" s="71">
        <f t="shared" ref="X40:Y40" si="184">U40/0.95</f>
        <v>13053.99281</v>
      </c>
      <c r="Y40" s="71">
        <f t="shared" si="184"/>
        <v>0</v>
      </c>
      <c r="Z40" s="68">
        <f t="shared" si="10"/>
        <v>13053.99281</v>
      </c>
      <c r="AA40" s="71">
        <v>4775.2373</v>
      </c>
      <c r="AB40" s="71">
        <v>0.0</v>
      </c>
      <c r="AC40" s="68">
        <f t="shared" si="11"/>
        <v>4775.2373</v>
      </c>
      <c r="AD40" s="71">
        <f t="shared" ref="AD40:AE40" si="185">AA40*0.95</f>
        <v>4536.475435</v>
      </c>
      <c r="AE40" s="71">
        <f t="shared" si="185"/>
        <v>0</v>
      </c>
      <c r="AF40" s="68">
        <f t="shared" si="13"/>
        <v>4536.475435</v>
      </c>
      <c r="AG40" s="71">
        <v>170.0</v>
      </c>
      <c r="AH40" s="71">
        <v>0.0</v>
      </c>
      <c r="AI40" s="68">
        <f t="shared" si="14"/>
        <v>170</v>
      </c>
      <c r="AJ40" s="71">
        <f t="shared" ref="AJ40:AK40" si="186">AG40/1.05506</f>
        <v>161.1282771</v>
      </c>
      <c r="AK40" s="71">
        <f t="shared" si="186"/>
        <v>0</v>
      </c>
      <c r="AL40" s="68">
        <f t="shared" si="16"/>
        <v>161.1282771</v>
      </c>
    </row>
    <row r="41" ht="14.25" customHeight="1">
      <c r="B41" s="69">
        <v>45777.0</v>
      </c>
      <c r="C41" s="70"/>
      <c r="D41" s="70"/>
      <c r="E41" s="68">
        <f t="shared" si="1"/>
        <v>0</v>
      </c>
      <c r="F41" s="71">
        <v>1401.0</v>
      </c>
      <c r="G41" s="71">
        <v>0.0</v>
      </c>
      <c r="H41" s="68">
        <f t="shared" si="17"/>
        <v>1401</v>
      </c>
      <c r="I41" s="73">
        <f t="shared" ref="I41:J41" si="187">F39*55000*0.35/1000/0.55</f>
        <v>31920</v>
      </c>
      <c r="J41" s="73">
        <f t="shared" si="187"/>
        <v>0</v>
      </c>
      <c r="K41" s="68">
        <f t="shared" si="19"/>
        <v>31920</v>
      </c>
      <c r="L41" s="71">
        <v>25754.0</v>
      </c>
      <c r="M41" s="71">
        <v>0.0</v>
      </c>
      <c r="N41" s="68">
        <f t="shared" si="3"/>
        <v>25754</v>
      </c>
      <c r="O41" s="71">
        <v>2481.654676258993</v>
      </c>
      <c r="P41" s="71">
        <v>0.0</v>
      </c>
      <c r="Q41" s="68">
        <f t="shared" si="4"/>
        <v>2481.654676</v>
      </c>
      <c r="R41" s="71">
        <f t="shared" ref="R41:S41" si="188">L41-O41</f>
        <v>23272.34532</v>
      </c>
      <c r="S41" s="71">
        <f t="shared" si="188"/>
        <v>0</v>
      </c>
      <c r="T41" s="68">
        <f t="shared" si="6"/>
        <v>23272.34532</v>
      </c>
      <c r="U41" s="71">
        <f t="shared" ref="U41:V41" si="189">R41*0.55</f>
        <v>12799.78993</v>
      </c>
      <c r="V41" s="71">
        <f t="shared" si="189"/>
        <v>0</v>
      </c>
      <c r="W41" s="68">
        <f t="shared" si="8"/>
        <v>12799.78993</v>
      </c>
      <c r="X41" s="71">
        <f t="shared" ref="X41:Y41" si="190">U41/0.95</f>
        <v>13473.46308</v>
      </c>
      <c r="Y41" s="71">
        <f t="shared" si="190"/>
        <v>0</v>
      </c>
      <c r="Z41" s="68">
        <f t="shared" si="10"/>
        <v>13473.46308</v>
      </c>
      <c r="AA41" s="71">
        <v>4414.5789</v>
      </c>
      <c r="AB41" s="71">
        <v>0.0</v>
      </c>
      <c r="AC41" s="68">
        <f t="shared" si="11"/>
        <v>4414.5789</v>
      </c>
      <c r="AD41" s="71">
        <f t="shared" ref="AD41:AE41" si="191">AA41*0.95</f>
        <v>4193.849955</v>
      </c>
      <c r="AE41" s="71">
        <f t="shared" si="191"/>
        <v>0</v>
      </c>
      <c r="AF41" s="68">
        <f t="shared" si="13"/>
        <v>4193.849955</v>
      </c>
      <c r="AG41" s="71">
        <v>157.0</v>
      </c>
      <c r="AH41" s="71">
        <v>0.0</v>
      </c>
      <c r="AI41" s="68">
        <f t="shared" si="14"/>
        <v>157</v>
      </c>
      <c r="AJ41" s="71">
        <f t="shared" ref="AJ41:AK41" si="192">AG41/1.05506</f>
        <v>148.8067029</v>
      </c>
      <c r="AK41" s="71">
        <f t="shared" si="192"/>
        <v>0</v>
      </c>
      <c r="AL41" s="68">
        <f t="shared" si="16"/>
        <v>148.8067029</v>
      </c>
    </row>
    <row r="42" ht="15.0" customHeight="1">
      <c r="B42" s="76" t="s">
        <v>49</v>
      </c>
      <c r="C42" s="77">
        <f t="shared" ref="C42:D42" si="193">SUM(C11:C41)</f>
        <v>0</v>
      </c>
      <c r="D42" s="77">
        <f t="shared" si="193"/>
        <v>0</v>
      </c>
      <c r="E42" s="77"/>
      <c r="F42" s="77">
        <f t="shared" ref="F42:AI42" si="194">SUM(F12:F41)</f>
        <v>30280</v>
      </c>
      <c r="G42" s="77">
        <f t="shared" si="194"/>
        <v>0</v>
      </c>
      <c r="H42" s="77">
        <f t="shared" si="194"/>
        <v>30280</v>
      </c>
      <c r="I42" s="77">
        <f t="shared" si="194"/>
        <v>1011360</v>
      </c>
      <c r="J42" s="77">
        <f t="shared" si="194"/>
        <v>0</v>
      </c>
      <c r="K42" s="77">
        <f t="shared" si="194"/>
        <v>1011360</v>
      </c>
      <c r="L42" s="77">
        <f t="shared" si="194"/>
        <v>592910</v>
      </c>
      <c r="M42" s="77">
        <f t="shared" si="194"/>
        <v>0</v>
      </c>
      <c r="N42" s="77">
        <f t="shared" si="194"/>
        <v>592910</v>
      </c>
      <c r="O42" s="77">
        <f t="shared" si="194"/>
        <v>74256.11511</v>
      </c>
      <c r="P42" s="77">
        <f t="shared" si="194"/>
        <v>0</v>
      </c>
      <c r="Q42" s="77">
        <f t="shared" si="194"/>
        <v>74256.11511</v>
      </c>
      <c r="R42" s="77">
        <f t="shared" si="194"/>
        <v>518653.8849</v>
      </c>
      <c r="S42" s="77">
        <f t="shared" si="194"/>
        <v>0</v>
      </c>
      <c r="T42" s="77">
        <f t="shared" si="194"/>
        <v>518653.8849</v>
      </c>
      <c r="U42" s="77">
        <f t="shared" si="194"/>
        <v>285259.6367</v>
      </c>
      <c r="V42" s="77">
        <f t="shared" si="194"/>
        <v>0</v>
      </c>
      <c r="W42" s="77">
        <f t="shared" si="194"/>
        <v>285259.6367</v>
      </c>
      <c r="X42" s="77">
        <f t="shared" si="194"/>
        <v>300273.3018</v>
      </c>
      <c r="Y42" s="77">
        <f t="shared" si="194"/>
        <v>0</v>
      </c>
      <c r="Z42" s="77">
        <f t="shared" si="194"/>
        <v>300273.3018</v>
      </c>
      <c r="AA42" s="77">
        <f t="shared" si="194"/>
        <v>82109.8463</v>
      </c>
      <c r="AB42" s="77">
        <f t="shared" si="194"/>
        <v>0</v>
      </c>
      <c r="AC42" s="77">
        <f t="shared" si="194"/>
        <v>82109.8463</v>
      </c>
      <c r="AD42" s="77">
        <f t="shared" si="194"/>
        <v>78004.35399</v>
      </c>
      <c r="AE42" s="77">
        <f t="shared" si="194"/>
        <v>0</v>
      </c>
      <c r="AF42" s="77">
        <f t="shared" si="194"/>
        <v>78004.35399</v>
      </c>
      <c r="AG42" s="77">
        <f t="shared" si="194"/>
        <v>2920</v>
      </c>
      <c r="AH42" s="77">
        <f t="shared" si="194"/>
        <v>0</v>
      </c>
      <c r="AI42" s="77">
        <f t="shared" si="194"/>
        <v>2920</v>
      </c>
      <c r="AJ42" s="78">
        <v>2768.0</v>
      </c>
      <c r="AK42" s="77">
        <f t="shared" ref="AK42:AL42" si="195">SUM(AK12:AK41)</f>
        <v>0</v>
      </c>
      <c r="AL42" s="77">
        <f t="shared" si="195"/>
        <v>2767.615112</v>
      </c>
      <c r="AN42" s="75">
        <f>AF42/Z42*100</f>
        <v>25.97778541</v>
      </c>
      <c r="AO42" s="83"/>
    </row>
    <row r="43" ht="14.25" customHeight="1"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5.75" customHeight="1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</row>
    <row r="46" ht="18.0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4.25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8.0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5.75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 ht="14.2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5.7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5.7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ht="14.25" customHeight="1">
      <c r="B59" s="53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</row>
    <row r="60" ht="14.25" customHeight="1">
      <c r="B60" s="53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4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3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8" width="12.0"/>
    <col customWidth="1" min="9" max="9" width="13.13"/>
    <col customWidth="1" min="10" max="10" width="12.0"/>
    <col customWidth="1" min="11" max="11" width="13.0"/>
    <col customWidth="1" min="12" max="12" width="12.0"/>
    <col customWidth="1" min="13" max="14" width="13.5"/>
    <col customWidth="1" min="15" max="38" width="12.0"/>
    <col customWidth="1" min="40" max="40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 t="s">
        <v>39</v>
      </c>
      <c r="AK2" s="57"/>
      <c r="AL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 t="s">
        <v>40</v>
      </c>
      <c r="AK3" s="57"/>
      <c r="AL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51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9</v>
      </c>
      <c r="V5" s="6"/>
      <c r="W5" s="7"/>
      <c r="X5" s="60" t="s">
        <v>10</v>
      </c>
      <c r="Y5" s="6"/>
      <c r="Z5" s="7"/>
      <c r="AA5" s="60" t="s">
        <v>46</v>
      </c>
      <c r="AB5" s="6"/>
      <c r="AC5" s="7"/>
      <c r="AD5" s="60" t="s">
        <v>11</v>
      </c>
      <c r="AE5" s="6"/>
      <c r="AF5" s="7"/>
      <c r="AG5" s="60" t="s">
        <v>47</v>
      </c>
      <c r="AH5" s="6"/>
      <c r="AI5" s="7"/>
      <c r="AJ5" s="60" t="s">
        <v>12</v>
      </c>
      <c r="AK5" s="6"/>
      <c r="AL5" s="7"/>
      <c r="AM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  <c r="AL6" s="14"/>
      <c r="AM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  <c r="AL7" s="14"/>
      <c r="AM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  <c r="AL8" s="14"/>
      <c r="AM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5"/>
      <c r="AK9" s="16"/>
      <c r="AL9" s="17"/>
      <c r="AM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  <c r="AJ10" s="63" t="s">
        <v>13</v>
      </c>
      <c r="AK10" s="64" t="s">
        <v>48</v>
      </c>
      <c r="AL10" s="65" t="s">
        <v>15</v>
      </c>
    </row>
    <row r="11" ht="15.0" customHeight="1">
      <c r="B11" s="66">
        <v>45777.0</v>
      </c>
      <c r="C11" s="67"/>
      <c r="D11" s="67"/>
      <c r="E11" s="68">
        <f t="shared" ref="E11:E42" si="1">SUM(C11+D11)</f>
        <v>0</v>
      </c>
      <c r="F11" s="84"/>
      <c r="G11" s="84"/>
      <c r="H11" s="85"/>
      <c r="I11" s="85"/>
      <c r="J11" s="85"/>
      <c r="K11" s="85"/>
      <c r="L11" s="85"/>
      <c r="M11" s="85"/>
      <c r="N11" s="85">
        <f t="shared" ref="N11:N42" si="3">SUM(L11+M11)</f>
        <v>0</v>
      </c>
      <c r="O11" s="85"/>
      <c r="P11" s="85"/>
      <c r="Q11" s="85">
        <f t="shared" ref="Q11:Q42" si="4">SUM(O11+P11)</f>
        <v>0</v>
      </c>
      <c r="R11" s="85"/>
      <c r="S11" s="85"/>
      <c r="T11" s="85">
        <f t="shared" ref="T11:T42" si="6">SUM(R11+S11)</f>
        <v>0</v>
      </c>
      <c r="U11" s="68"/>
      <c r="V11" s="68"/>
      <c r="W11" s="68">
        <f t="shared" ref="W11:W39" si="8">SUM(U11+V11)</f>
        <v>0</v>
      </c>
      <c r="X11" s="85"/>
      <c r="Y11" s="85"/>
      <c r="Z11" s="85">
        <f t="shared" ref="Z11:Z42" si="10">SUM(X11+Y11)</f>
        <v>0</v>
      </c>
      <c r="AA11" s="85"/>
      <c r="AB11" s="85"/>
      <c r="AC11" s="85">
        <f t="shared" ref="AC11:AC42" si="11">SUM(AA11+AB11)</f>
        <v>0</v>
      </c>
      <c r="AD11" s="85"/>
      <c r="AE11" s="85"/>
      <c r="AF11" s="85">
        <f t="shared" ref="AF11:AF42" si="13">SUM(AD11+AE11)</f>
        <v>0</v>
      </c>
      <c r="AG11" s="85"/>
      <c r="AH11" s="85"/>
      <c r="AI11" s="85">
        <f t="shared" ref="AI11:AI42" si="14">SUM(AG11+AH11)</f>
        <v>0</v>
      </c>
      <c r="AJ11" s="85"/>
      <c r="AK11" s="85"/>
      <c r="AL11" s="85">
        <f t="shared" ref="AL11:AL42" si="16">SUM(AJ11+AK11)</f>
        <v>0</v>
      </c>
    </row>
    <row r="12" ht="18.0" customHeight="1">
      <c r="B12" s="69">
        <v>45778.0</v>
      </c>
      <c r="C12" s="70"/>
      <c r="D12" s="70"/>
      <c r="E12" s="68">
        <f t="shared" si="1"/>
        <v>0</v>
      </c>
      <c r="F12" s="86">
        <v>0.0</v>
      </c>
      <c r="G12" s="86">
        <v>0.0</v>
      </c>
      <c r="H12" s="85">
        <f t="shared" ref="H12:H42" si="17">SUM(F12+G12)</f>
        <v>0</v>
      </c>
      <c r="I12" s="87">
        <f t="shared" ref="I12:J12" si="2">F12*55000*0.35/1000/0.55</f>
        <v>0</v>
      </c>
      <c r="J12" s="87">
        <f t="shared" si="2"/>
        <v>0</v>
      </c>
      <c r="K12" s="85">
        <f t="shared" ref="K12:K42" si="19">J12+I12</f>
        <v>0</v>
      </c>
      <c r="L12" s="86">
        <v>25245.0</v>
      </c>
      <c r="M12" s="86">
        <v>0.0</v>
      </c>
      <c r="N12" s="85">
        <f t="shared" si="3"/>
        <v>25245</v>
      </c>
      <c r="O12" s="86">
        <v>2844.9640287769785</v>
      </c>
      <c r="P12" s="86">
        <v>0.0</v>
      </c>
      <c r="Q12" s="85">
        <f t="shared" si="4"/>
        <v>2844.964029</v>
      </c>
      <c r="R12" s="86">
        <f t="shared" ref="R12:S12" si="5">L12-O12</f>
        <v>22400.03597</v>
      </c>
      <c r="S12" s="86">
        <f t="shared" si="5"/>
        <v>0</v>
      </c>
      <c r="T12" s="85">
        <f t="shared" si="6"/>
        <v>22400.03597</v>
      </c>
      <c r="U12" s="71">
        <f t="shared" ref="U12:V12" si="7">R12*0.55</f>
        <v>12320.01978</v>
      </c>
      <c r="V12" s="71">
        <f t="shared" si="7"/>
        <v>0</v>
      </c>
      <c r="W12" s="68">
        <f t="shared" si="8"/>
        <v>12320.01978</v>
      </c>
      <c r="X12" s="86">
        <f t="shared" ref="X12:Y12" si="9">U12/0.95</f>
        <v>12968.44188</v>
      </c>
      <c r="Y12" s="86">
        <f t="shared" si="9"/>
        <v>0</v>
      </c>
      <c r="Z12" s="85">
        <f t="shared" si="10"/>
        <v>12968.44188</v>
      </c>
      <c r="AA12" s="86">
        <v>3272.2241</v>
      </c>
      <c r="AB12" s="86">
        <v>0.0</v>
      </c>
      <c r="AC12" s="85">
        <f t="shared" si="11"/>
        <v>3272.2241</v>
      </c>
      <c r="AD12" s="86">
        <f t="shared" ref="AD12:AE12" si="12">AA12*0.95</f>
        <v>3108.612895</v>
      </c>
      <c r="AE12" s="86">
        <f t="shared" si="12"/>
        <v>0</v>
      </c>
      <c r="AF12" s="85">
        <f t="shared" si="13"/>
        <v>3108.612895</v>
      </c>
      <c r="AG12" s="86">
        <v>117.0</v>
      </c>
      <c r="AH12" s="86">
        <v>0.0</v>
      </c>
      <c r="AI12" s="85">
        <f t="shared" si="14"/>
        <v>117</v>
      </c>
      <c r="AJ12" s="86">
        <f t="shared" ref="AJ12:AK12" si="15">AG12/1.05506</f>
        <v>110.8941672</v>
      </c>
      <c r="AK12" s="86">
        <f t="shared" si="15"/>
        <v>0</v>
      </c>
      <c r="AL12" s="85">
        <f t="shared" si="16"/>
        <v>110.8941672</v>
      </c>
    </row>
    <row r="13" ht="14.25" customHeight="1">
      <c r="B13" s="69">
        <v>45779.0</v>
      </c>
      <c r="C13" s="70"/>
      <c r="D13" s="70"/>
      <c r="E13" s="68">
        <f t="shared" si="1"/>
        <v>0</v>
      </c>
      <c r="F13" s="86">
        <v>221.0</v>
      </c>
      <c r="G13" s="86">
        <v>0.0</v>
      </c>
      <c r="H13" s="85">
        <f t="shared" si="17"/>
        <v>221</v>
      </c>
      <c r="I13" s="87">
        <f t="shared" ref="I13:J13" si="18">F13*55000*0.35/1000/0.55</f>
        <v>7735</v>
      </c>
      <c r="J13" s="87">
        <f t="shared" si="18"/>
        <v>0</v>
      </c>
      <c r="K13" s="85">
        <f t="shared" si="19"/>
        <v>7735</v>
      </c>
      <c r="L13" s="86">
        <v>25627.0</v>
      </c>
      <c r="M13" s="86">
        <v>0.0</v>
      </c>
      <c r="N13" s="85">
        <f t="shared" si="3"/>
        <v>25627</v>
      </c>
      <c r="O13" s="86">
        <v>2988.129496402878</v>
      </c>
      <c r="P13" s="86">
        <v>0.0</v>
      </c>
      <c r="Q13" s="85">
        <f t="shared" si="4"/>
        <v>2988.129496</v>
      </c>
      <c r="R13" s="86">
        <f t="shared" ref="R13:S13" si="20">L13-O13</f>
        <v>22638.8705</v>
      </c>
      <c r="S13" s="86">
        <f t="shared" si="20"/>
        <v>0</v>
      </c>
      <c r="T13" s="85">
        <f t="shared" si="6"/>
        <v>22638.8705</v>
      </c>
      <c r="U13" s="71">
        <f t="shared" ref="U13:V13" si="21">R13*0.55</f>
        <v>12451.37878</v>
      </c>
      <c r="V13" s="71">
        <f t="shared" si="21"/>
        <v>0</v>
      </c>
      <c r="W13" s="68">
        <f t="shared" si="8"/>
        <v>12451.37878</v>
      </c>
      <c r="X13" s="86">
        <f t="shared" ref="X13:Y13" si="22">U13/0.95</f>
        <v>13106.7145</v>
      </c>
      <c r="Y13" s="86">
        <f t="shared" si="22"/>
        <v>0</v>
      </c>
      <c r="Z13" s="85">
        <f t="shared" si="10"/>
        <v>13106.7145</v>
      </c>
      <c r="AA13" s="86">
        <v>4154.6525</v>
      </c>
      <c r="AB13" s="86">
        <v>0.0</v>
      </c>
      <c r="AC13" s="85">
        <f t="shared" si="11"/>
        <v>4154.6525</v>
      </c>
      <c r="AD13" s="86">
        <f t="shared" ref="AD13:AE13" si="23">AA13*0.95</f>
        <v>3946.919875</v>
      </c>
      <c r="AE13" s="86">
        <f t="shared" si="23"/>
        <v>0</v>
      </c>
      <c r="AF13" s="85">
        <f t="shared" si="13"/>
        <v>3946.919875</v>
      </c>
      <c r="AG13" s="86">
        <v>149.0</v>
      </c>
      <c r="AH13" s="86">
        <v>0.0</v>
      </c>
      <c r="AI13" s="85">
        <f t="shared" si="14"/>
        <v>149</v>
      </c>
      <c r="AJ13" s="86">
        <f t="shared" ref="AJ13:AK13" si="24">AG13/1.05506</f>
        <v>141.2241958</v>
      </c>
      <c r="AK13" s="86">
        <f t="shared" si="24"/>
        <v>0</v>
      </c>
      <c r="AL13" s="85">
        <f t="shared" si="16"/>
        <v>141.2241958</v>
      </c>
    </row>
    <row r="14" ht="14.25" customHeight="1">
      <c r="B14" s="69">
        <v>45780.0</v>
      </c>
      <c r="C14" s="70"/>
      <c r="D14" s="70"/>
      <c r="E14" s="68">
        <f t="shared" si="1"/>
        <v>0</v>
      </c>
      <c r="F14" s="86">
        <v>1336.0</v>
      </c>
      <c r="G14" s="86">
        <v>0.0</v>
      </c>
      <c r="H14" s="85">
        <f t="shared" si="17"/>
        <v>1336</v>
      </c>
      <c r="I14" s="87">
        <f t="shared" ref="I14:J14" si="25">F14*55000*0.35/1000/0.55</f>
        <v>46760</v>
      </c>
      <c r="J14" s="87">
        <f t="shared" si="25"/>
        <v>0</v>
      </c>
      <c r="K14" s="85">
        <f t="shared" si="19"/>
        <v>46760</v>
      </c>
      <c r="L14" s="86">
        <v>25980.0</v>
      </c>
      <c r="M14" s="86">
        <v>0.0</v>
      </c>
      <c r="N14" s="85">
        <f t="shared" si="3"/>
        <v>25980</v>
      </c>
      <c r="O14" s="86">
        <v>3029.496402877698</v>
      </c>
      <c r="P14" s="86">
        <v>0.0</v>
      </c>
      <c r="Q14" s="85">
        <f t="shared" si="4"/>
        <v>3029.496403</v>
      </c>
      <c r="R14" s="86">
        <f t="shared" ref="R14:S14" si="26">L14-O14</f>
        <v>22950.5036</v>
      </c>
      <c r="S14" s="86">
        <f t="shared" si="26"/>
        <v>0</v>
      </c>
      <c r="T14" s="85">
        <f t="shared" si="6"/>
        <v>22950.5036</v>
      </c>
      <c r="U14" s="71">
        <f t="shared" ref="U14:V14" si="27">R14*0.55</f>
        <v>12622.77698</v>
      </c>
      <c r="V14" s="71">
        <f t="shared" si="27"/>
        <v>0</v>
      </c>
      <c r="W14" s="68">
        <f t="shared" si="8"/>
        <v>12622.77698</v>
      </c>
      <c r="X14" s="86">
        <f t="shared" ref="X14:Y14" si="28">U14/0.95</f>
        <v>13287.13366</v>
      </c>
      <c r="Y14" s="86">
        <f t="shared" si="28"/>
        <v>0</v>
      </c>
      <c r="Z14" s="85">
        <f t="shared" si="10"/>
        <v>13287.13366</v>
      </c>
      <c r="AA14" s="86">
        <v>4450.4507</v>
      </c>
      <c r="AB14" s="86">
        <v>0.0</v>
      </c>
      <c r="AC14" s="85">
        <f t="shared" si="11"/>
        <v>4450.4507</v>
      </c>
      <c r="AD14" s="86">
        <f t="shared" ref="AD14:AE14" si="29">AA14*0.95</f>
        <v>4227.928165</v>
      </c>
      <c r="AE14" s="86">
        <f t="shared" si="29"/>
        <v>0</v>
      </c>
      <c r="AF14" s="85">
        <f t="shared" si="13"/>
        <v>4227.928165</v>
      </c>
      <c r="AG14" s="86">
        <v>159.0</v>
      </c>
      <c r="AH14" s="86">
        <v>0.0</v>
      </c>
      <c r="AI14" s="85">
        <f t="shared" si="14"/>
        <v>159</v>
      </c>
      <c r="AJ14" s="86">
        <f t="shared" ref="AJ14:AK14" si="30">AG14/1.05506</f>
        <v>150.7023297</v>
      </c>
      <c r="AK14" s="86">
        <f t="shared" si="30"/>
        <v>0</v>
      </c>
      <c r="AL14" s="85">
        <f t="shared" si="16"/>
        <v>150.7023297</v>
      </c>
    </row>
    <row r="15" ht="14.25" customHeight="1">
      <c r="B15" s="69">
        <v>45781.0</v>
      </c>
      <c r="C15" s="70"/>
      <c r="D15" s="70"/>
      <c r="E15" s="68">
        <f t="shared" si="1"/>
        <v>0</v>
      </c>
      <c r="F15" s="86">
        <v>399.0</v>
      </c>
      <c r="G15" s="86">
        <v>0.0</v>
      </c>
      <c r="H15" s="85">
        <f t="shared" si="17"/>
        <v>399</v>
      </c>
      <c r="I15" s="87">
        <f t="shared" ref="I15:J15" si="31">F15*55000*0.35/1000/0.55</f>
        <v>13965</v>
      </c>
      <c r="J15" s="87">
        <f t="shared" si="31"/>
        <v>0</v>
      </c>
      <c r="K15" s="85">
        <f t="shared" si="19"/>
        <v>13965</v>
      </c>
      <c r="L15" s="86">
        <v>20608.0</v>
      </c>
      <c r="M15" s="86">
        <v>0.0</v>
      </c>
      <c r="N15" s="85">
        <f t="shared" si="3"/>
        <v>20608</v>
      </c>
      <c r="O15" s="86">
        <v>2909.352517985612</v>
      </c>
      <c r="P15" s="86">
        <v>0.0</v>
      </c>
      <c r="Q15" s="85">
        <f t="shared" si="4"/>
        <v>2909.352518</v>
      </c>
      <c r="R15" s="86">
        <f t="shared" ref="R15:S15" si="32">L15-O15</f>
        <v>17698.64748</v>
      </c>
      <c r="S15" s="86">
        <f t="shared" si="32"/>
        <v>0</v>
      </c>
      <c r="T15" s="85">
        <f t="shared" si="6"/>
        <v>17698.64748</v>
      </c>
      <c r="U15" s="71">
        <f t="shared" ref="U15:V15" si="33">R15*0.55</f>
        <v>9734.256115</v>
      </c>
      <c r="V15" s="71">
        <f t="shared" si="33"/>
        <v>0</v>
      </c>
      <c r="W15" s="68">
        <f t="shared" si="8"/>
        <v>9734.256115</v>
      </c>
      <c r="X15" s="86">
        <f t="shared" ref="X15:Y15" si="34">U15/0.95</f>
        <v>10246.58538</v>
      </c>
      <c r="Y15" s="86">
        <f t="shared" si="34"/>
        <v>0</v>
      </c>
      <c r="Z15" s="85">
        <f t="shared" si="10"/>
        <v>10246.58538</v>
      </c>
      <c r="AA15" s="86">
        <v>3868.5029</v>
      </c>
      <c r="AB15" s="86">
        <v>0.0</v>
      </c>
      <c r="AC15" s="85">
        <f t="shared" si="11"/>
        <v>3868.5029</v>
      </c>
      <c r="AD15" s="86">
        <f t="shared" ref="AD15:AE15" si="35">AA15*0.95</f>
        <v>3675.077755</v>
      </c>
      <c r="AE15" s="86">
        <f t="shared" si="35"/>
        <v>0</v>
      </c>
      <c r="AF15" s="85">
        <f t="shared" si="13"/>
        <v>3675.077755</v>
      </c>
      <c r="AG15" s="86">
        <v>138.0</v>
      </c>
      <c r="AH15" s="86">
        <v>0.0</v>
      </c>
      <c r="AI15" s="85">
        <f t="shared" si="14"/>
        <v>138</v>
      </c>
      <c r="AJ15" s="86">
        <f t="shared" ref="AJ15:AK15" si="36">AG15/1.05506</f>
        <v>130.7982484</v>
      </c>
      <c r="AK15" s="86">
        <f t="shared" si="36"/>
        <v>0</v>
      </c>
      <c r="AL15" s="85">
        <f t="shared" si="16"/>
        <v>130.7982484</v>
      </c>
    </row>
    <row r="16" ht="14.25" customHeight="1">
      <c r="B16" s="69">
        <v>45782.0</v>
      </c>
      <c r="C16" s="70"/>
      <c r="D16" s="70"/>
      <c r="E16" s="68">
        <f t="shared" si="1"/>
        <v>0</v>
      </c>
      <c r="F16" s="86">
        <v>1321.0</v>
      </c>
      <c r="G16" s="86">
        <v>0.0</v>
      </c>
      <c r="H16" s="85">
        <f t="shared" si="17"/>
        <v>1321</v>
      </c>
      <c r="I16" s="87">
        <f t="shared" ref="I16:J16" si="37">F16*55000*0.35/1000/0.55</f>
        <v>46235</v>
      </c>
      <c r="J16" s="87">
        <f t="shared" si="37"/>
        <v>0</v>
      </c>
      <c r="K16" s="85">
        <f t="shared" si="19"/>
        <v>46235</v>
      </c>
      <c r="L16" s="86">
        <v>15178.0</v>
      </c>
      <c r="M16" s="86">
        <v>0.0</v>
      </c>
      <c r="N16" s="85">
        <f t="shared" si="3"/>
        <v>15178</v>
      </c>
      <c r="O16" s="86">
        <v>3099.2805755395684</v>
      </c>
      <c r="P16" s="86">
        <v>0.0</v>
      </c>
      <c r="Q16" s="85">
        <f t="shared" si="4"/>
        <v>3099.280576</v>
      </c>
      <c r="R16" s="86">
        <f t="shared" ref="R16:S16" si="38">L16-O16</f>
        <v>12078.71942</v>
      </c>
      <c r="S16" s="86">
        <f t="shared" si="38"/>
        <v>0</v>
      </c>
      <c r="T16" s="85">
        <f t="shared" si="6"/>
        <v>12078.71942</v>
      </c>
      <c r="U16" s="71">
        <f t="shared" ref="U16:V16" si="39">R16*0.55</f>
        <v>6643.295683</v>
      </c>
      <c r="V16" s="71">
        <f t="shared" si="39"/>
        <v>0</v>
      </c>
      <c r="W16" s="68">
        <f t="shared" si="8"/>
        <v>6643.295683</v>
      </c>
      <c r="X16" s="86">
        <f t="shared" ref="X16:Y16" si="40">U16/0.95</f>
        <v>6992.942825</v>
      </c>
      <c r="Y16" s="86">
        <f t="shared" si="40"/>
        <v>0</v>
      </c>
      <c r="Z16" s="85">
        <f t="shared" si="10"/>
        <v>6992.942825</v>
      </c>
      <c r="AA16" s="86">
        <v>4485.1495</v>
      </c>
      <c r="AB16" s="86">
        <v>0.0</v>
      </c>
      <c r="AC16" s="85">
        <f t="shared" si="11"/>
        <v>4485.1495</v>
      </c>
      <c r="AD16" s="86">
        <f t="shared" ref="AD16:AE16" si="41">AA16*0.95</f>
        <v>4260.892025</v>
      </c>
      <c r="AE16" s="86">
        <f t="shared" si="41"/>
        <v>0</v>
      </c>
      <c r="AF16" s="85">
        <f t="shared" si="13"/>
        <v>4260.892025</v>
      </c>
      <c r="AG16" s="86">
        <v>161.0</v>
      </c>
      <c r="AH16" s="86">
        <v>0.0</v>
      </c>
      <c r="AI16" s="85">
        <f t="shared" si="14"/>
        <v>161</v>
      </c>
      <c r="AJ16" s="86">
        <f t="shared" ref="AJ16:AK16" si="42">AG16/1.05506</f>
        <v>152.5979565</v>
      </c>
      <c r="AK16" s="86">
        <f t="shared" si="42"/>
        <v>0</v>
      </c>
      <c r="AL16" s="85">
        <f t="shared" si="16"/>
        <v>152.5979565</v>
      </c>
    </row>
    <row r="17" ht="14.25" customHeight="1">
      <c r="B17" s="69">
        <v>45783.0</v>
      </c>
      <c r="C17" s="70"/>
      <c r="D17" s="70"/>
      <c r="E17" s="68">
        <f t="shared" si="1"/>
        <v>0</v>
      </c>
      <c r="F17" s="86">
        <v>1190.0</v>
      </c>
      <c r="G17" s="86">
        <v>0.0</v>
      </c>
      <c r="H17" s="85">
        <f t="shared" si="17"/>
        <v>1190</v>
      </c>
      <c r="I17" s="87">
        <f t="shared" ref="I17:J17" si="43">F17*55000*0.35/1000/0.55</f>
        <v>41650</v>
      </c>
      <c r="J17" s="87">
        <f t="shared" si="43"/>
        <v>0</v>
      </c>
      <c r="K17" s="85">
        <f t="shared" si="19"/>
        <v>41650</v>
      </c>
      <c r="L17" s="86">
        <v>21268.0</v>
      </c>
      <c r="M17" s="86">
        <v>0.0</v>
      </c>
      <c r="N17" s="85">
        <f t="shared" si="3"/>
        <v>21268</v>
      </c>
      <c r="O17" s="86">
        <v>3221.223021582734</v>
      </c>
      <c r="P17" s="86">
        <v>0.0</v>
      </c>
      <c r="Q17" s="85">
        <f t="shared" si="4"/>
        <v>3221.223022</v>
      </c>
      <c r="R17" s="86">
        <f t="shared" ref="R17:S17" si="44">L17-O17</f>
        <v>18046.77698</v>
      </c>
      <c r="S17" s="86">
        <f t="shared" si="44"/>
        <v>0</v>
      </c>
      <c r="T17" s="85">
        <f t="shared" si="6"/>
        <v>18046.77698</v>
      </c>
      <c r="U17" s="71">
        <f t="shared" ref="U17:V17" si="45">R17*0.55</f>
        <v>9925.727338</v>
      </c>
      <c r="V17" s="71">
        <f t="shared" si="45"/>
        <v>0</v>
      </c>
      <c r="W17" s="68">
        <f t="shared" si="8"/>
        <v>9925.727338</v>
      </c>
      <c r="X17" s="86">
        <f t="shared" ref="X17:Y17" si="46">U17/0.95</f>
        <v>10448.13404</v>
      </c>
      <c r="Y17" s="86">
        <f t="shared" si="46"/>
        <v>0</v>
      </c>
      <c r="Z17" s="85">
        <f t="shared" si="10"/>
        <v>10448.13404</v>
      </c>
      <c r="AA17" s="86">
        <v>4831.2966</v>
      </c>
      <c r="AB17" s="86">
        <v>0.0</v>
      </c>
      <c r="AC17" s="85">
        <f t="shared" si="11"/>
        <v>4831.2966</v>
      </c>
      <c r="AD17" s="86">
        <f t="shared" ref="AD17:AE17" si="47">AA17*0.95</f>
        <v>4589.73177</v>
      </c>
      <c r="AE17" s="86">
        <f t="shared" si="47"/>
        <v>0</v>
      </c>
      <c r="AF17" s="85">
        <f t="shared" si="13"/>
        <v>4589.73177</v>
      </c>
      <c r="AG17" s="86">
        <v>172.0</v>
      </c>
      <c r="AH17" s="86">
        <v>0.0</v>
      </c>
      <c r="AI17" s="85">
        <f t="shared" si="14"/>
        <v>172</v>
      </c>
      <c r="AJ17" s="86">
        <f t="shared" ref="AJ17:AK17" si="48">AG17/1.05506</f>
        <v>163.0239039</v>
      </c>
      <c r="AK17" s="86">
        <f t="shared" si="48"/>
        <v>0</v>
      </c>
      <c r="AL17" s="85">
        <f t="shared" si="16"/>
        <v>163.0239039</v>
      </c>
    </row>
    <row r="18" ht="14.25" customHeight="1">
      <c r="B18" s="69">
        <v>45784.0</v>
      </c>
      <c r="C18" s="70"/>
      <c r="D18" s="70"/>
      <c r="E18" s="68">
        <f t="shared" si="1"/>
        <v>0</v>
      </c>
      <c r="F18" s="86">
        <v>942.0</v>
      </c>
      <c r="G18" s="86">
        <v>0.0</v>
      </c>
      <c r="H18" s="85">
        <f t="shared" si="17"/>
        <v>942</v>
      </c>
      <c r="I18" s="87">
        <f t="shared" ref="I18:J18" si="49">F18*55000*0.35/1000/0.55</f>
        <v>32970</v>
      </c>
      <c r="J18" s="87">
        <f t="shared" si="49"/>
        <v>0</v>
      </c>
      <c r="K18" s="85">
        <f t="shared" si="19"/>
        <v>32970</v>
      </c>
      <c r="L18" s="86">
        <v>24659.0</v>
      </c>
      <c r="M18" s="86">
        <v>0.0</v>
      </c>
      <c r="N18" s="85">
        <f t="shared" si="3"/>
        <v>24659</v>
      </c>
      <c r="O18" s="86">
        <v>3206.834532374101</v>
      </c>
      <c r="P18" s="86">
        <v>0.0</v>
      </c>
      <c r="Q18" s="85">
        <f t="shared" si="4"/>
        <v>3206.834532</v>
      </c>
      <c r="R18" s="86">
        <f t="shared" ref="R18:S18" si="50">L18-O18</f>
        <v>21452.16547</v>
      </c>
      <c r="S18" s="86">
        <f t="shared" si="50"/>
        <v>0</v>
      </c>
      <c r="T18" s="85">
        <f t="shared" si="6"/>
        <v>21452.16547</v>
      </c>
      <c r="U18" s="71">
        <f t="shared" ref="U18:V18" si="51">R18*0.55</f>
        <v>11798.69101</v>
      </c>
      <c r="V18" s="71">
        <f t="shared" si="51"/>
        <v>0</v>
      </c>
      <c r="W18" s="68">
        <f t="shared" si="8"/>
        <v>11798.69101</v>
      </c>
      <c r="X18" s="86">
        <f t="shared" ref="X18:Y18" si="52">U18/0.95</f>
        <v>12419.67474</v>
      </c>
      <c r="Y18" s="86">
        <f t="shared" si="52"/>
        <v>0</v>
      </c>
      <c r="Z18" s="85">
        <f t="shared" si="10"/>
        <v>12419.67474</v>
      </c>
      <c r="AA18" s="86">
        <v>4989.6428</v>
      </c>
      <c r="AB18" s="86">
        <v>0.0</v>
      </c>
      <c r="AC18" s="85">
        <f t="shared" si="11"/>
        <v>4989.6428</v>
      </c>
      <c r="AD18" s="86">
        <f t="shared" ref="AD18:AE18" si="53">AA18*0.95</f>
        <v>4740.16066</v>
      </c>
      <c r="AE18" s="86">
        <f t="shared" si="53"/>
        <v>0</v>
      </c>
      <c r="AF18" s="85">
        <f t="shared" si="13"/>
        <v>4740.16066</v>
      </c>
      <c r="AG18" s="86">
        <v>178.0</v>
      </c>
      <c r="AH18" s="86">
        <v>0.0</v>
      </c>
      <c r="AI18" s="85">
        <f t="shared" si="14"/>
        <v>178</v>
      </c>
      <c r="AJ18" s="86">
        <f t="shared" ref="AJ18:AK18" si="54">AG18/1.05506</f>
        <v>168.7107842</v>
      </c>
      <c r="AK18" s="86">
        <f t="shared" si="54"/>
        <v>0</v>
      </c>
      <c r="AL18" s="85">
        <f t="shared" si="16"/>
        <v>168.7107842</v>
      </c>
    </row>
    <row r="19" ht="14.25" customHeight="1">
      <c r="B19" s="69">
        <v>45785.0</v>
      </c>
      <c r="C19" s="70"/>
      <c r="D19" s="70"/>
      <c r="E19" s="68">
        <f t="shared" si="1"/>
        <v>0</v>
      </c>
      <c r="F19" s="86">
        <v>1105.0</v>
      </c>
      <c r="G19" s="86">
        <v>0.0</v>
      </c>
      <c r="H19" s="85">
        <f t="shared" si="17"/>
        <v>1105</v>
      </c>
      <c r="I19" s="87">
        <f t="shared" ref="I19:J19" si="55">F19*55000*0.35/1000/0.55</f>
        <v>38675</v>
      </c>
      <c r="J19" s="87">
        <f t="shared" si="55"/>
        <v>0</v>
      </c>
      <c r="K19" s="85">
        <f t="shared" si="19"/>
        <v>38675</v>
      </c>
      <c r="L19" s="86">
        <v>25592.0</v>
      </c>
      <c r="M19" s="86">
        <v>0.0</v>
      </c>
      <c r="N19" s="85">
        <f t="shared" si="3"/>
        <v>25592</v>
      </c>
      <c r="O19" s="86">
        <v>3353.2374100719426</v>
      </c>
      <c r="P19" s="86">
        <v>0.0</v>
      </c>
      <c r="Q19" s="85">
        <f t="shared" si="4"/>
        <v>3353.23741</v>
      </c>
      <c r="R19" s="86">
        <f t="shared" ref="R19:S19" si="56">L19-O19</f>
        <v>22238.76259</v>
      </c>
      <c r="S19" s="86">
        <f t="shared" si="56"/>
        <v>0</v>
      </c>
      <c r="T19" s="85">
        <f t="shared" si="6"/>
        <v>22238.76259</v>
      </c>
      <c r="U19" s="71">
        <f t="shared" ref="U19:V19" si="57">R19*0.55</f>
        <v>12231.31942</v>
      </c>
      <c r="V19" s="71">
        <f t="shared" si="57"/>
        <v>0</v>
      </c>
      <c r="W19" s="68">
        <f t="shared" si="8"/>
        <v>12231.31942</v>
      </c>
      <c r="X19" s="86">
        <f t="shared" ref="X19:Y19" si="58">U19/0.95</f>
        <v>12875.07308</v>
      </c>
      <c r="Y19" s="86">
        <f t="shared" si="58"/>
        <v>0</v>
      </c>
      <c r="Z19" s="85">
        <f t="shared" si="10"/>
        <v>12875.07308</v>
      </c>
      <c r="AA19" s="86">
        <v>3199.658</v>
      </c>
      <c r="AB19" s="86">
        <v>0.0</v>
      </c>
      <c r="AC19" s="85">
        <f t="shared" si="11"/>
        <v>3199.658</v>
      </c>
      <c r="AD19" s="86">
        <f t="shared" ref="AD19:AE19" si="59">AA19*0.95</f>
        <v>3039.6751</v>
      </c>
      <c r="AE19" s="86">
        <f t="shared" si="59"/>
        <v>0</v>
      </c>
      <c r="AF19" s="85">
        <f t="shared" si="13"/>
        <v>3039.6751</v>
      </c>
      <c r="AG19" s="86">
        <v>114.0</v>
      </c>
      <c r="AH19" s="86">
        <v>0.0</v>
      </c>
      <c r="AI19" s="85">
        <f t="shared" si="14"/>
        <v>114</v>
      </c>
      <c r="AJ19" s="86">
        <f t="shared" ref="AJ19:AK19" si="60">AG19/1.05506</f>
        <v>108.050727</v>
      </c>
      <c r="AK19" s="86">
        <f t="shared" si="60"/>
        <v>0</v>
      </c>
      <c r="AL19" s="85">
        <f t="shared" si="16"/>
        <v>108.050727</v>
      </c>
    </row>
    <row r="20" ht="14.25" customHeight="1">
      <c r="B20" s="69">
        <v>45786.0</v>
      </c>
      <c r="C20" s="70"/>
      <c r="D20" s="70"/>
      <c r="E20" s="68">
        <f t="shared" si="1"/>
        <v>0</v>
      </c>
      <c r="F20" s="86">
        <v>1054.0</v>
      </c>
      <c r="G20" s="86">
        <v>0.0</v>
      </c>
      <c r="H20" s="85">
        <f t="shared" si="17"/>
        <v>1054</v>
      </c>
      <c r="I20" s="87">
        <f t="shared" ref="I20:J20" si="61">F20*55000*0.35/1000/0.55</f>
        <v>36890</v>
      </c>
      <c r="J20" s="87">
        <f t="shared" si="61"/>
        <v>0</v>
      </c>
      <c r="K20" s="85">
        <f t="shared" si="19"/>
        <v>36890</v>
      </c>
      <c r="L20" s="86">
        <v>25793.0</v>
      </c>
      <c r="M20" s="86">
        <v>0.0</v>
      </c>
      <c r="N20" s="85">
        <f t="shared" si="3"/>
        <v>25793</v>
      </c>
      <c r="O20" s="86">
        <v>3294.244604316547</v>
      </c>
      <c r="P20" s="86">
        <v>0.0</v>
      </c>
      <c r="Q20" s="85">
        <f t="shared" si="4"/>
        <v>3294.244604</v>
      </c>
      <c r="R20" s="86">
        <f t="shared" ref="R20:S20" si="62">L20-O20</f>
        <v>22498.7554</v>
      </c>
      <c r="S20" s="86">
        <f t="shared" si="62"/>
        <v>0</v>
      </c>
      <c r="T20" s="85">
        <f t="shared" si="6"/>
        <v>22498.7554</v>
      </c>
      <c r="U20" s="71">
        <f t="shared" ref="U20:V20" si="63">R20*0.55</f>
        <v>12374.31547</v>
      </c>
      <c r="V20" s="71">
        <f t="shared" si="63"/>
        <v>0</v>
      </c>
      <c r="W20" s="68">
        <f t="shared" si="8"/>
        <v>12374.31547</v>
      </c>
      <c r="X20" s="86">
        <f t="shared" ref="X20:Y20" si="64">U20/0.95</f>
        <v>13025.59523</v>
      </c>
      <c r="Y20" s="86">
        <f t="shared" si="64"/>
        <v>0</v>
      </c>
      <c r="Z20" s="85">
        <f t="shared" si="10"/>
        <v>13025.59523</v>
      </c>
      <c r="AA20" s="86">
        <v>4205.9329</v>
      </c>
      <c r="AB20" s="86">
        <v>0.0</v>
      </c>
      <c r="AC20" s="85">
        <f t="shared" si="11"/>
        <v>4205.9329</v>
      </c>
      <c r="AD20" s="86">
        <f t="shared" ref="AD20:AE20" si="65">AA20*0.95</f>
        <v>3995.636255</v>
      </c>
      <c r="AE20" s="86">
        <f t="shared" si="65"/>
        <v>0</v>
      </c>
      <c r="AF20" s="85">
        <f t="shared" si="13"/>
        <v>3995.636255</v>
      </c>
      <c r="AG20" s="86">
        <v>151.0</v>
      </c>
      <c r="AH20" s="86">
        <v>0.0</v>
      </c>
      <c r="AI20" s="85">
        <f t="shared" si="14"/>
        <v>151</v>
      </c>
      <c r="AJ20" s="86">
        <f t="shared" ref="AJ20:AK20" si="66">AG20/1.05506</f>
        <v>143.1198226</v>
      </c>
      <c r="AK20" s="86">
        <f t="shared" si="66"/>
        <v>0</v>
      </c>
      <c r="AL20" s="85">
        <f t="shared" si="16"/>
        <v>143.1198226</v>
      </c>
    </row>
    <row r="21" ht="14.25" customHeight="1">
      <c r="B21" s="69">
        <v>45787.0</v>
      </c>
      <c r="C21" s="70"/>
      <c r="D21" s="70"/>
      <c r="E21" s="68">
        <f t="shared" si="1"/>
        <v>0</v>
      </c>
      <c r="F21" s="86">
        <v>1352.0</v>
      </c>
      <c r="G21" s="86">
        <v>0.0</v>
      </c>
      <c r="H21" s="85">
        <f t="shared" si="17"/>
        <v>1352</v>
      </c>
      <c r="I21" s="87">
        <f t="shared" ref="I21:J21" si="67">F21*55000*0.35/1000/0.55</f>
        <v>47320</v>
      </c>
      <c r="J21" s="87">
        <f t="shared" si="67"/>
        <v>0</v>
      </c>
      <c r="K21" s="85">
        <f t="shared" si="19"/>
        <v>47320</v>
      </c>
      <c r="L21" s="86">
        <v>25031.0</v>
      </c>
      <c r="M21" s="86">
        <v>0.0</v>
      </c>
      <c r="N21" s="85">
        <f t="shared" si="3"/>
        <v>25031</v>
      </c>
      <c r="O21" s="86">
        <v>3288.8489208633096</v>
      </c>
      <c r="P21" s="86">
        <v>0.0</v>
      </c>
      <c r="Q21" s="85">
        <f t="shared" si="4"/>
        <v>3288.848921</v>
      </c>
      <c r="R21" s="86">
        <f t="shared" ref="R21:S21" si="68">L21-O21</f>
        <v>21742.15108</v>
      </c>
      <c r="S21" s="86">
        <f t="shared" si="68"/>
        <v>0</v>
      </c>
      <c r="T21" s="85">
        <f t="shared" si="6"/>
        <v>21742.15108</v>
      </c>
      <c r="U21" s="71">
        <f t="shared" ref="U21:V21" si="69">R21*0.55</f>
        <v>11958.18309</v>
      </c>
      <c r="V21" s="71">
        <f t="shared" si="69"/>
        <v>0</v>
      </c>
      <c r="W21" s="68">
        <f t="shared" si="8"/>
        <v>11958.18309</v>
      </c>
      <c r="X21" s="86">
        <f t="shared" ref="X21:Y21" si="70">U21/0.95</f>
        <v>12587.56115</v>
      </c>
      <c r="Y21" s="86">
        <f t="shared" si="70"/>
        <v>0</v>
      </c>
      <c r="Z21" s="85">
        <f t="shared" si="10"/>
        <v>12587.56115</v>
      </c>
      <c r="AA21" s="86">
        <v>5021.6602</v>
      </c>
      <c r="AB21" s="86">
        <v>0.0</v>
      </c>
      <c r="AC21" s="85">
        <f t="shared" si="11"/>
        <v>5021.6602</v>
      </c>
      <c r="AD21" s="86">
        <f t="shared" ref="AD21:AE21" si="71">AA21*0.95</f>
        <v>4770.57719</v>
      </c>
      <c r="AE21" s="86">
        <f t="shared" si="71"/>
        <v>0</v>
      </c>
      <c r="AF21" s="85">
        <f t="shared" si="13"/>
        <v>4770.57719</v>
      </c>
      <c r="AG21" s="86">
        <v>180.0</v>
      </c>
      <c r="AH21" s="86">
        <v>0.0</v>
      </c>
      <c r="AI21" s="85">
        <f t="shared" si="14"/>
        <v>180</v>
      </c>
      <c r="AJ21" s="86">
        <f t="shared" ref="AJ21:AK21" si="72">AG21/1.05506</f>
        <v>170.606411</v>
      </c>
      <c r="AK21" s="86">
        <f t="shared" si="72"/>
        <v>0</v>
      </c>
      <c r="AL21" s="85">
        <f t="shared" si="16"/>
        <v>170.606411</v>
      </c>
    </row>
    <row r="22" ht="14.25" customHeight="1">
      <c r="B22" s="69">
        <v>45788.0</v>
      </c>
      <c r="C22" s="70"/>
      <c r="D22" s="70"/>
      <c r="E22" s="68">
        <f t="shared" si="1"/>
        <v>0</v>
      </c>
      <c r="F22" s="86">
        <v>125.0</v>
      </c>
      <c r="G22" s="86">
        <v>0.0</v>
      </c>
      <c r="H22" s="85">
        <f t="shared" si="17"/>
        <v>125</v>
      </c>
      <c r="I22" s="87">
        <f t="shared" ref="I22:J22" si="73">F22*55000*0.35/1000/0.55</f>
        <v>4375</v>
      </c>
      <c r="J22" s="87">
        <f t="shared" si="73"/>
        <v>0</v>
      </c>
      <c r="K22" s="85">
        <f t="shared" si="19"/>
        <v>4375</v>
      </c>
      <c r="L22" s="86">
        <v>25344.0</v>
      </c>
      <c r="M22" s="86">
        <v>0.0</v>
      </c>
      <c r="N22" s="85">
        <f t="shared" si="3"/>
        <v>25344</v>
      </c>
      <c r="O22" s="86">
        <v>3339.568345323741</v>
      </c>
      <c r="P22" s="86">
        <v>0.0</v>
      </c>
      <c r="Q22" s="85">
        <f t="shared" si="4"/>
        <v>3339.568345</v>
      </c>
      <c r="R22" s="86">
        <f t="shared" ref="R22:S22" si="74">L22-O22</f>
        <v>22004.43165</v>
      </c>
      <c r="S22" s="86">
        <f t="shared" si="74"/>
        <v>0</v>
      </c>
      <c r="T22" s="85">
        <f t="shared" si="6"/>
        <v>22004.43165</v>
      </c>
      <c r="U22" s="71">
        <f t="shared" ref="U22:V22" si="75">R22*0.55</f>
        <v>12102.43741</v>
      </c>
      <c r="V22" s="71">
        <f t="shared" si="75"/>
        <v>0</v>
      </c>
      <c r="W22" s="68">
        <f t="shared" si="8"/>
        <v>12102.43741</v>
      </c>
      <c r="X22" s="86">
        <f t="shared" ref="X22:Y22" si="76">U22/0.95</f>
        <v>12739.4078</v>
      </c>
      <c r="Y22" s="86">
        <f t="shared" si="76"/>
        <v>0</v>
      </c>
      <c r="Z22" s="85">
        <f t="shared" si="10"/>
        <v>12739.4078</v>
      </c>
      <c r="AA22" s="86">
        <v>5190.5871</v>
      </c>
      <c r="AB22" s="86">
        <v>0.0</v>
      </c>
      <c r="AC22" s="85">
        <f t="shared" si="11"/>
        <v>5190.5871</v>
      </c>
      <c r="AD22" s="86">
        <f t="shared" ref="AD22:AE22" si="77">AA22*0.95</f>
        <v>4931.057745</v>
      </c>
      <c r="AE22" s="86">
        <f t="shared" si="77"/>
        <v>0</v>
      </c>
      <c r="AF22" s="85">
        <f t="shared" si="13"/>
        <v>4931.057745</v>
      </c>
      <c r="AG22" s="86">
        <v>187.0</v>
      </c>
      <c r="AH22" s="86">
        <v>0.0</v>
      </c>
      <c r="AI22" s="85">
        <f t="shared" si="14"/>
        <v>187</v>
      </c>
      <c r="AJ22" s="86">
        <f t="shared" ref="AJ22:AK22" si="78">AG22/1.05506</f>
        <v>177.2411048</v>
      </c>
      <c r="AK22" s="86">
        <f t="shared" si="78"/>
        <v>0</v>
      </c>
      <c r="AL22" s="85">
        <f t="shared" si="16"/>
        <v>177.2411048</v>
      </c>
    </row>
    <row r="23" ht="14.25" customHeight="1">
      <c r="B23" s="69">
        <v>45789.0</v>
      </c>
      <c r="C23" s="70"/>
      <c r="D23" s="70"/>
      <c r="E23" s="68">
        <f t="shared" si="1"/>
        <v>0</v>
      </c>
      <c r="F23" s="86">
        <v>987.0</v>
      </c>
      <c r="G23" s="86">
        <v>0.0</v>
      </c>
      <c r="H23" s="85">
        <f t="shared" si="17"/>
        <v>987</v>
      </c>
      <c r="I23" s="87">
        <f t="shared" ref="I23:J23" si="79">F23*55000*0.35/1000/0.55</f>
        <v>34545</v>
      </c>
      <c r="J23" s="87">
        <f t="shared" si="79"/>
        <v>0</v>
      </c>
      <c r="K23" s="85">
        <f t="shared" si="19"/>
        <v>34545</v>
      </c>
      <c r="L23" s="86">
        <v>26114.0</v>
      </c>
      <c r="M23" s="86">
        <v>0.0</v>
      </c>
      <c r="N23" s="85">
        <f t="shared" si="3"/>
        <v>26114</v>
      </c>
      <c r="O23" s="86">
        <v>3352.158273381295</v>
      </c>
      <c r="P23" s="86">
        <v>0.0</v>
      </c>
      <c r="Q23" s="85">
        <f t="shared" si="4"/>
        <v>3352.158273</v>
      </c>
      <c r="R23" s="86">
        <f t="shared" ref="R23:S23" si="80">L23-O23</f>
        <v>22761.84173</v>
      </c>
      <c r="S23" s="86">
        <f t="shared" si="80"/>
        <v>0</v>
      </c>
      <c r="T23" s="85">
        <f t="shared" si="6"/>
        <v>22761.84173</v>
      </c>
      <c r="U23" s="71">
        <f t="shared" ref="U23:V23" si="81">R23*0.55</f>
        <v>12519.01295</v>
      </c>
      <c r="V23" s="71">
        <f t="shared" si="81"/>
        <v>0</v>
      </c>
      <c r="W23" s="68">
        <f t="shared" si="8"/>
        <v>12519.01295</v>
      </c>
      <c r="X23" s="86">
        <f t="shared" ref="X23:Y23" si="82">U23/0.95</f>
        <v>13177.90837</v>
      </c>
      <c r="Y23" s="86">
        <f t="shared" si="82"/>
        <v>0</v>
      </c>
      <c r="Z23" s="85">
        <f t="shared" si="10"/>
        <v>13177.90837</v>
      </c>
      <c r="AA23" s="86">
        <v>5694.5829</v>
      </c>
      <c r="AB23" s="86">
        <v>0.0</v>
      </c>
      <c r="AC23" s="85">
        <f t="shared" si="11"/>
        <v>5694.5829</v>
      </c>
      <c r="AD23" s="86">
        <f t="shared" ref="AD23:AE23" si="83">AA23*0.95</f>
        <v>5409.853755</v>
      </c>
      <c r="AE23" s="86">
        <f t="shared" si="83"/>
        <v>0</v>
      </c>
      <c r="AF23" s="85">
        <f t="shared" si="13"/>
        <v>5409.853755</v>
      </c>
      <c r="AG23" s="86">
        <v>205.0</v>
      </c>
      <c r="AH23" s="86">
        <v>0.0</v>
      </c>
      <c r="AI23" s="85">
        <f t="shared" si="14"/>
        <v>205</v>
      </c>
      <c r="AJ23" s="86">
        <f t="shared" ref="AJ23:AK23" si="84">AG23/1.05506</f>
        <v>194.3017459</v>
      </c>
      <c r="AK23" s="86">
        <f t="shared" si="84"/>
        <v>0</v>
      </c>
      <c r="AL23" s="85">
        <f t="shared" si="16"/>
        <v>194.3017459</v>
      </c>
    </row>
    <row r="24" ht="14.25" customHeight="1">
      <c r="B24" s="69">
        <v>45790.0</v>
      </c>
      <c r="C24" s="70"/>
      <c r="D24" s="70"/>
      <c r="E24" s="68">
        <f t="shared" si="1"/>
        <v>0</v>
      </c>
      <c r="F24" s="86">
        <v>1299.0</v>
      </c>
      <c r="G24" s="86">
        <v>0.0</v>
      </c>
      <c r="H24" s="85">
        <f t="shared" si="17"/>
        <v>1299</v>
      </c>
      <c r="I24" s="87">
        <f t="shared" ref="I24:J24" si="85">F24*55000*0.35/1000/0.55</f>
        <v>45465</v>
      </c>
      <c r="J24" s="87">
        <f t="shared" si="85"/>
        <v>0</v>
      </c>
      <c r="K24" s="85">
        <f t="shared" si="19"/>
        <v>45465</v>
      </c>
      <c r="L24" s="86">
        <v>25124.0</v>
      </c>
      <c r="M24" s="86">
        <v>0.0</v>
      </c>
      <c r="N24" s="85">
        <f t="shared" si="3"/>
        <v>25124</v>
      </c>
      <c r="O24" s="86">
        <v>3514.7482014388493</v>
      </c>
      <c r="P24" s="86">
        <v>0.0</v>
      </c>
      <c r="Q24" s="85">
        <f t="shared" si="4"/>
        <v>3514.748201</v>
      </c>
      <c r="R24" s="86">
        <f t="shared" ref="R24:S24" si="86">L24-O24</f>
        <v>21609.2518</v>
      </c>
      <c r="S24" s="86">
        <f t="shared" si="86"/>
        <v>0</v>
      </c>
      <c r="T24" s="85">
        <f t="shared" si="6"/>
        <v>21609.2518</v>
      </c>
      <c r="U24" s="71">
        <f t="shared" ref="U24:V24" si="87">R24*0.55</f>
        <v>11885.08849</v>
      </c>
      <c r="V24" s="71">
        <f t="shared" si="87"/>
        <v>0</v>
      </c>
      <c r="W24" s="68">
        <f t="shared" si="8"/>
        <v>11885.08849</v>
      </c>
      <c r="X24" s="86">
        <f t="shared" ref="X24:Y24" si="88">U24/0.95</f>
        <v>12510.61946</v>
      </c>
      <c r="Y24" s="86">
        <f t="shared" si="88"/>
        <v>0</v>
      </c>
      <c r="Z24" s="85">
        <f t="shared" si="10"/>
        <v>12510.61946</v>
      </c>
      <c r="AA24" s="86">
        <v>5480.5246</v>
      </c>
      <c r="AB24" s="86">
        <v>0.0</v>
      </c>
      <c r="AC24" s="85">
        <f t="shared" si="11"/>
        <v>5480.5246</v>
      </c>
      <c r="AD24" s="86">
        <f t="shared" ref="AD24:AE24" si="89">AA24*0.95</f>
        <v>5206.49837</v>
      </c>
      <c r="AE24" s="86">
        <f t="shared" si="89"/>
        <v>0</v>
      </c>
      <c r="AF24" s="85">
        <f t="shared" si="13"/>
        <v>5206.49837</v>
      </c>
      <c r="AG24" s="86">
        <v>197.0</v>
      </c>
      <c r="AH24" s="86">
        <v>0.0</v>
      </c>
      <c r="AI24" s="85">
        <f t="shared" si="14"/>
        <v>197</v>
      </c>
      <c r="AJ24" s="86">
        <f t="shared" ref="AJ24:AK24" si="90">AG24/1.05506</f>
        <v>186.7192387</v>
      </c>
      <c r="AK24" s="86">
        <f t="shared" si="90"/>
        <v>0</v>
      </c>
      <c r="AL24" s="85">
        <f t="shared" si="16"/>
        <v>186.7192387</v>
      </c>
    </row>
    <row r="25" ht="14.25" customHeight="1">
      <c r="B25" s="69">
        <v>45791.0</v>
      </c>
      <c r="C25" s="70"/>
      <c r="D25" s="70"/>
      <c r="E25" s="68">
        <f t="shared" si="1"/>
        <v>0</v>
      </c>
      <c r="F25" s="86">
        <v>1169.0</v>
      </c>
      <c r="G25" s="86">
        <v>0.0</v>
      </c>
      <c r="H25" s="85">
        <f t="shared" si="17"/>
        <v>1169</v>
      </c>
      <c r="I25" s="87">
        <f t="shared" ref="I25:J25" si="91">F25*55000*0.35/1000/0.55</f>
        <v>40915</v>
      </c>
      <c r="J25" s="87">
        <f t="shared" si="91"/>
        <v>0</v>
      </c>
      <c r="K25" s="85">
        <f t="shared" si="19"/>
        <v>40915</v>
      </c>
      <c r="L25" s="86">
        <v>25006.0</v>
      </c>
      <c r="M25" s="86">
        <v>0.0</v>
      </c>
      <c r="N25" s="85">
        <f t="shared" si="3"/>
        <v>25006</v>
      </c>
      <c r="O25" s="86">
        <v>3429.856115107914</v>
      </c>
      <c r="P25" s="86">
        <v>0.0</v>
      </c>
      <c r="Q25" s="85">
        <f t="shared" si="4"/>
        <v>3429.856115</v>
      </c>
      <c r="R25" s="86">
        <f t="shared" ref="R25:S25" si="92">L25-O25</f>
        <v>21576.14388</v>
      </c>
      <c r="S25" s="86">
        <f t="shared" si="92"/>
        <v>0</v>
      </c>
      <c r="T25" s="85">
        <f t="shared" si="6"/>
        <v>21576.14388</v>
      </c>
      <c r="U25" s="71">
        <f t="shared" ref="U25:V25" si="93">R25*0.55</f>
        <v>11866.87914</v>
      </c>
      <c r="V25" s="71">
        <f t="shared" si="93"/>
        <v>0</v>
      </c>
      <c r="W25" s="68">
        <f t="shared" si="8"/>
        <v>11866.87914</v>
      </c>
      <c r="X25" s="86">
        <f t="shared" ref="X25:Y25" si="94">U25/0.95</f>
        <v>12491.45172</v>
      </c>
      <c r="Y25" s="86">
        <f t="shared" si="94"/>
        <v>0</v>
      </c>
      <c r="Z25" s="85">
        <f t="shared" si="10"/>
        <v>12491.45172</v>
      </c>
      <c r="AA25" s="86">
        <v>5703.0852</v>
      </c>
      <c r="AB25" s="86">
        <v>0.0</v>
      </c>
      <c r="AC25" s="85">
        <f t="shared" si="11"/>
        <v>5703.0852</v>
      </c>
      <c r="AD25" s="86">
        <f t="shared" ref="AD25:AE25" si="95">AA25*0.95</f>
        <v>5417.93094</v>
      </c>
      <c r="AE25" s="86">
        <f t="shared" si="95"/>
        <v>0</v>
      </c>
      <c r="AF25" s="85">
        <f t="shared" si="13"/>
        <v>5417.93094</v>
      </c>
      <c r="AG25" s="86">
        <v>205.0</v>
      </c>
      <c r="AH25" s="86">
        <v>0.0</v>
      </c>
      <c r="AI25" s="85">
        <f t="shared" si="14"/>
        <v>205</v>
      </c>
      <c r="AJ25" s="86">
        <f t="shared" ref="AJ25:AK25" si="96">AG25/1.05506</f>
        <v>194.3017459</v>
      </c>
      <c r="AK25" s="86">
        <f t="shared" si="96"/>
        <v>0</v>
      </c>
      <c r="AL25" s="85">
        <f t="shared" si="16"/>
        <v>194.3017459</v>
      </c>
    </row>
    <row r="26" ht="14.25" customHeight="1">
      <c r="B26" s="69">
        <v>45792.0</v>
      </c>
      <c r="C26" s="70"/>
      <c r="D26" s="70"/>
      <c r="E26" s="68">
        <f t="shared" si="1"/>
        <v>0</v>
      </c>
      <c r="F26" s="86">
        <v>1315.0</v>
      </c>
      <c r="G26" s="86">
        <v>0.0</v>
      </c>
      <c r="H26" s="85">
        <f t="shared" si="17"/>
        <v>1315</v>
      </c>
      <c r="I26" s="87">
        <f t="shared" ref="I26:J26" si="97">F26*55000*0.35/1000/0.55</f>
        <v>46025</v>
      </c>
      <c r="J26" s="87">
        <f t="shared" si="97"/>
        <v>0</v>
      </c>
      <c r="K26" s="85">
        <f t="shared" si="19"/>
        <v>46025</v>
      </c>
      <c r="L26" s="86">
        <v>25391.0</v>
      </c>
      <c r="M26" s="86">
        <v>0.0</v>
      </c>
      <c r="N26" s="85">
        <f t="shared" si="3"/>
        <v>25391</v>
      </c>
      <c r="O26" s="86">
        <v>3566.906474820144</v>
      </c>
      <c r="P26" s="86">
        <v>0.0</v>
      </c>
      <c r="Q26" s="85">
        <f t="shared" si="4"/>
        <v>3566.906475</v>
      </c>
      <c r="R26" s="86">
        <f t="shared" ref="R26:S26" si="98">L26-O26</f>
        <v>21824.09353</v>
      </c>
      <c r="S26" s="86">
        <f t="shared" si="98"/>
        <v>0</v>
      </c>
      <c r="T26" s="85">
        <f t="shared" si="6"/>
        <v>21824.09353</v>
      </c>
      <c r="U26" s="71">
        <f t="shared" ref="U26:V26" si="99">R26*0.55</f>
        <v>12003.25144</v>
      </c>
      <c r="V26" s="71">
        <f t="shared" si="99"/>
        <v>0</v>
      </c>
      <c r="W26" s="68">
        <f t="shared" si="8"/>
        <v>12003.25144</v>
      </c>
      <c r="X26" s="86">
        <f t="shared" ref="X26:Y26" si="100">U26/0.95</f>
        <v>12635.00151</v>
      </c>
      <c r="Y26" s="86">
        <f t="shared" si="100"/>
        <v>0</v>
      </c>
      <c r="Z26" s="85">
        <f t="shared" si="10"/>
        <v>12635.00151</v>
      </c>
      <c r="AA26" s="86">
        <v>5730.9052</v>
      </c>
      <c r="AB26" s="86">
        <v>0.0</v>
      </c>
      <c r="AC26" s="85">
        <f t="shared" si="11"/>
        <v>5730.9052</v>
      </c>
      <c r="AD26" s="86">
        <f t="shared" ref="AD26:AE26" si="101">AA26*0.95</f>
        <v>5444.35994</v>
      </c>
      <c r="AE26" s="86">
        <f t="shared" si="101"/>
        <v>0</v>
      </c>
      <c r="AF26" s="85">
        <f t="shared" si="13"/>
        <v>5444.35994</v>
      </c>
      <c r="AG26" s="86">
        <v>206.0</v>
      </c>
      <c r="AH26" s="86">
        <v>0.0</v>
      </c>
      <c r="AI26" s="85">
        <f t="shared" si="14"/>
        <v>206</v>
      </c>
      <c r="AJ26" s="86">
        <f t="shared" ref="AJ26:AK26" si="102">AG26/1.05506</f>
        <v>195.2495593</v>
      </c>
      <c r="AK26" s="86">
        <f t="shared" si="102"/>
        <v>0</v>
      </c>
      <c r="AL26" s="85">
        <f t="shared" si="16"/>
        <v>195.2495593</v>
      </c>
    </row>
    <row r="27" ht="14.25" customHeight="1">
      <c r="B27" s="69">
        <v>45793.0</v>
      </c>
      <c r="C27" s="70"/>
      <c r="D27" s="70"/>
      <c r="E27" s="68">
        <f t="shared" si="1"/>
        <v>0</v>
      </c>
      <c r="F27" s="86">
        <v>906.0</v>
      </c>
      <c r="G27" s="86">
        <v>0.0</v>
      </c>
      <c r="H27" s="85">
        <f t="shared" si="17"/>
        <v>906</v>
      </c>
      <c r="I27" s="87">
        <f t="shared" ref="I27:J27" si="103">F27*55000*0.35/1000/0.55</f>
        <v>31710</v>
      </c>
      <c r="J27" s="87">
        <f t="shared" si="103"/>
        <v>0</v>
      </c>
      <c r="K27" s="85">
        <f t="shared" si="19"/>
        <v>31710</v>
      </c>
      <c r="L27" s="86">
        <v>24726.0</v>
      </c>
      <c r="M27" s="86">
        <v>0.0</v>
      </c>
      <c r="N27" s="85">
        <f t="shared" si="3"/>
        <v>24726</v>
      </c>
      <c r="O27" s="86">
        <v>3342.086330935252</v>
      </c>
      <c r="P27" s="86">
        <v>0.0</v>
      </c>
      <c r="Q27" s="85">
        <f t="shared" si="4"/>
        <v>3342.086331</v>
      </c>
      <c r="R27" s="86">
        <f t="shared" ref="R27:S27" si="104">L27-O27</f>
        <v>21383.91367</v>
      </c>
      <c r="S27" s="86">
        <f t="shared" si="104"/>
        <v>0</v>
      </c>
      <c r="T27" s="85">
        <f t="shared" si="6"/>
        <v>21383.91367</v>
      </c>
      <c r="U27" s="71">
        <f t="shared" ref="U27:V27" si="105">R27*0.55</f>
        <v>11761.15252</v>
      </c>
      <c r="V27" s="71">
        <f t="shared" si="105"/>
        <v>0</v>
      </c>
      <c r="W27" s="68">
        <f t="shared" si="8"/>
        <v>11761.15252</v>
      </c>
      <c r="X27" s="86">
        <f t="shared" ref="X27:Y27" si="106">U27/0.95</f>
        <v>12380.16055</v>
      </c>
      <c r="Y27" s="86">
        <f t="shared" si="106"/>
        <v>0</v>
      </c>
      <c r="Z27" s="85">
        <f t="shared" si="10"/>
        <v>12380.16055</v>
      </c>
      <c r="AA27" s="86">
        <v>5833.8444</v>
      </c>
      <c r="AB27" s="86">
        <v>0.0</v>
      </c>
      <c r="AC27" s="85">
        <f t="shared" si="11"/>
        <v>5833.8444</v>
      </c>
      <c r="AD27" s="86">
        <f t="shared" ref="AD27:AE27" si="107">AA27*0.95</f>
        <v>5542.15218</v>
      </c>
      <c r="AE27" s="86">
        <f t="shared" si="107"/>
        <v>0</v>
      </c>
      <c r="AF27" s="85">
        <f t="shared" si="13"/>
        <v>5542.15218</v>
      </c>
      <c r="AG27" s="86">
        <v>210.0</v>
      </c>
      <c r="AH27" s="86">
        <v>0.0</v>
      </c>
      <c r="AI27" s="85">
        <f t="shared" si="14"/>
        <v>210</v>
      </c>
      <c r="AJ27" s="86">
        <f t="shared" ref="AJ27:AK27" si="108">AG27/1.05506</f>
        <v>199.0408128</v>
      </c>
      <c r="AK27" s="86">
        <f t="shared" si="108"/>
        <v>0</v>
      </c>
      <c r="AL27" s="85">
        <f t="shared" si="16"/>
        <v>199.0408128</v>
      </c>
    </row>
    <row r="28" ht="14.25" customHeight="1">
      <c r="B28" s="69">
        <v>45794.0</v>
      </c>
      <c r="C28" s="70"/>
      <c r="D28" s="70"/>
      <c r="E28" s="68">
        <f t="shared" si="1"/>
        <v>0</v>
      </c>
      <c r="F28" s="86">
        <v>1158.0</v>
      </c>
      <c r="G28" s="86">
        <v>0.0</v>
      </c>
      <c r="H28" s="85">
        <f t="shared" si="17"/>
        <v>1158</v>
      </c>
      <c r="I28" s="87">
        <f t="shared" ref="I28:J28" si="109">F28*55000*0.35/1000/0.55</f>
        <v>40530</v>
      </c>
      <c r="J28" s="87">
        <f t="shared" si="109"/>
        <v>0</v>
      </c>
      <c r="K28" s="85">
        <f t="shared" si="19"/>
        <v>40530</v>
      </c>
      <c r="L28" s="86">
        <v>26358.0</v>
      </c>
      <c r="M28" s="86">
        <v>0.0</v>
      </c>
      <c r="N28" s="85">
        <f t="shared" si="3"/>
        <v>26358</v>
      </c>
      <c r="O28" s="86">
        <v>3501.079136690648</v>
      </c>
      <c r="P28" s="86">
        <v>0.0</v>
      </c>
      <c r="Q28" s="85">
        <f t="shared" si="4"/>
        <v>3501.079137</v>
      </c>
      <c r="R28" s="86">
        <f t="shared" ref="R28:S28" si="110">L28-O28</f>
        <v>22856.92086</v>
      </c>
      <c r="S28" s="86">
        <f t="shared" si="110"/>
        <v>0</v>
      </c>
      <c r="T28" s="85">
        <f t="shared" si="6"/>
        <v>22856.92086</v>
      </c>
      <c r="U28" s="71">
        <f t="shared" ref="U28:V28" si="111">R28*0.55</f>
        <v>12571.30647</v>
      </c>
      <c r="V28" s="71">
        <f t="shared" si="111"/>
        <v>0</v>
      </c>
      <c r="W28" s="68">
        <f t="shared" si="8"/>
        <v>12571.30647</v>
      </c>
      <c r="X28" s="86">
        <f t="shared" ref="X28:Y28" si="112">U28/0.95</f>
        <v>13232.95418</v>
      </c>
      <c r="Y28" s="86">
        <f t="shared" si="112"/>
        <v>0</v>
      </c>
      <c r="Z28" s="85">
        <f t="shared" si="10"/>
        <v>13232.95418</v>
      </c>
      <c r="AA28" s="86">
        <v>5828.1353</v>
      </c>
      <c r="AB28" s="86">
        <v>0.0</v>
      </c>
      <c r="AC28" s="85">
        <f t="shared" si="11"/>
        <v>5828.1353</v>
      </c>
      <c r="AD28" s="86">
        <f t="shared" ref="AD28:AE28" si="113">AA28*0.95</f>
        <v>5536.728535</v>
      </c>
      <c r="AE28" s="86">
        <f t="shared" si="113"/>
        <v>0</v>
      </c>
      <c r="AF28" s="85">
        <f t="shared" si="13"/>
        <v>5536.728535</v>
      </c>
      <c r="AG28" s="86">
        <v>209.0</v>
      </c>
      <c r="AH28" s="86">
        <v>0.0</v>
      </c>
      <c r="AI28" s="85">
        <f t="shared" si="14"/>
        <v>209</v>
      </c>
      <c r="AJ28" s="86">
        <f t="shared" ref="AJ28:AK28" si="114">AG28/1.05506</f>
        <v>198.0929995</v>
      </c>
      <c r="AK28" s="86">
        <f t="shared" si="114"/>
        <v>0</v>
      </c>
      <c r="AL28" s="85">
        <f t="shared" si="16"/>
        <v>198.0929995</v>
      </c>
    </row>
    <row r="29" ht="14.25" customHeight="1">
      <c r="B29" s="69">
        <v>45795.0</v>
      </c>
      <c r="C29" s="70"/>
      <c r="D29" s="70"/>
      <c r="E29" s="68">
        <f t="shared" si="1"/>
        <v>0</v>
      </c>
      <c r="F29" s="86">
        <v>172.0</v>
      </c>
      <c r="G29" s="86">
        <v>0.0</v>
      </c>
      <c r="H29" s="85">
        <f t="shared" si="17"/>
        <v>172</v>
      </c>
      <c r="I29" s="87">
        <f t="shared" ref="I29:J29" si="115">F29*55000*0.35/1000/0.55</f>
        <v>6020</v>
      </c>
      <c r="J29" s="87">
        <f t="shared" si="115"/>
        <v>0</v>
      </c>
      <c r="K29" s="85">
        <f t="shared" si="19"/>
        <v>6020</v>
      </c>
      <c r="L29" s="86">
        <v>26042.0</v>
      </c>
      <c r="M29" s="86">
        <v>0.0</v>
      </c>
      <c r="N29" s="85">
        <f t="shared" si="3"/>
        <v>26042</v>
      </c>
      <c r="O29" s="86">
        <v>3409.7122302158277</v>
      </c>
      <c r="P29" s="86">
        <v>0.0</v>
      </c>
      <c r="Q29" s="85">
        <f t="shared" si="4"/>
        <v>3409.71223</v>
      </c>
      <c r="R29" s="86">
        <f t="shared" ref="R29:S29" si="116">L29-O29</f>
        <v>22632.28777</v>
      </c>
      <c r="S29" s="86">
        <f t="shared" si="116"/>
        <v>0</v>
      </c>
      <c r="T29" s="85">
        <f t="shared" si="6"/>
        <v>22632.28777</v>
      </c>
      <c r="U29" s="71">
        <f t="shared" ref="U29:V29" si="117">R29*0.55</f>
        <v>12447.75827</v>
      </c>
      <c r="V29" s="71">
        <f t="shared" si="117"/>
        <v>0</v>
      </c>
      <c r="W29" s="68">
        <f t="shared" si="8"/>
        <v>12447.75827</v>
      </c>
      <c r="X29" s="86">
        <f t="shared" ref="X29:Y29" si="118">U29/0.95</f>
        <v>13102.90345</v>
      </c>
      <c r="Y29" s="86">
        <f t="shared" si="118"/>
        <v>0</v>
      </c>
      <c r="Z29" s="85">
        <f t="shared" si="10"/>
        <v>13102.90345</v>
      </c>
      <c r="AA29" s="86">
        <v>5686.7168</v>
      </c>
      <c r="AB29" s="86">
        <v>0.0</v>
      </c>
      <c r="AC29" s="85">
        <f t="shared" si="11"/>
        <v>5686.7168</v>
      </c>
      <c r="AD29" s="86">
        <f t="shared" ref="AD29:AE29" si="119">AA29*0.95</f>
        <v>5402.38096</v>
      </c>
      <c r="AE29" s="86">
        <f t="shared" si="119"/>
        <v>0</v>
      </c>
      <c r="AF29" s="85">
        <f t="shared" si="13"/>
        <v>5402.38096</v>
      </c>
      <c r="AG29" s="86">
        <v>204.0</v>
      </c>
      <c r="AH29" s="86">
        <v>0.0</v>
      </c>
      <c r="AI29" s="85">
        <f t="shared" si="14"/>
        <v>204</v>
      </c>
      <c r="AJ29" s="86">
        <f t="shared" ref="AJ29:AK29" si="120">AG29/1.05506</f>
        <v>193.3539325</v>
      </c>
      <c r="AK29" s="86">
        <f t="shared" si="120"/>
        <v>0</v>
      </c>
      <c r="AL29" s="85">
        <f t="shared" si="16"/>
        <v>193.3539325</v>
      </c>
    </row>
    <row r="30" ht="14.25" customHeight="1">
      <c r="B30" s="69">
        <v>45796.0</v>
      </c>
      <c r="C30" s="70"/>
      <c r="D30" s="70"/>
      <c r="E30" s="68">
        <f t="shared" si="1"/>
        <v>0</v>
      </c>
      <c r="F30" s="86">
        <v>395.0</v>
      </c>
      <c r="G30" s="86">
        <v>0.0</v>
      </c>
      <c r="H30" s="85">
        <f t="shared" si="17"/>
        <v>395</v>
      </c>
      <c r="I30" s="87">
        <f t="shared" ref="I30:J30" si="121">F30*55000*0.35/1000/0.55</f>
        <v>13825</v>
      </c>
      <c r="J30" s="87">
        <f t="shared" si="121"/>
        <v>0</v>
      </c>
      <c r="K30" s="85">
        <f t="shared" si="19"/>
        <v>13825</v>
      </c>
      <c r="L30" s="86">
        <v>25591.0</v>
      </c>
      <c r="M30" s="86">
        <v>0.0</v>
      </c>
      <c r="N30" s="85">
        <f t="shared" si="3"/>
        <v>25591</v>
      </c>
      <c r="O30" s="86">
        <v>3661.5107913669067</v>
      </c>
      <c r="P30" s="86">
        <v>0.0</v>
      </c>
      <c r="Q30" s="85">
        <f t="shared" si="4"/>
        <v>3661.510791</v>
      </c>
      <c r="R30" s="86">
        <f t="shared" ref="R30:S30" si="122">L30-O30</f>
        <v>21929.48921</v>
      </c>
      <c r="S30" s="86">
        <f t="shared" si="122"/>
        <v>0</v>
      </c>
      <c r="T30" s="85">
        <f t="shared" si="6"/>
        <v>21929.48921</v>
      </c>
      <c r="U30" s="71">
        <f t="shared" ref="U30:V30" si="123">R30*0.55</f>
        <v>12061.21906</v>
      </c>
      <c r="V30" s="71">
        <f t="shared" si="123"/>
        <v>0</v>
      </c>
      <c r="W30" s="68">
        <f t="shared" si="8"/>
        <v>12061.21906</v>
      </c>
      <c r="X30" s="86">
        <f t="shared" ref="X30:Y30" si="124">U30/0.95</f>
        <v>12696.02007</v>
      </c>
      <c r="Y30" s="86">
        <f t="shared" si="124"/>
        <v>0</v>
      </c>
      <c r="Z30" s="85">
        <f t="shared" si="10"/>
        <v>12696.02007</v>
      </c>
      <c r="AA30" s="86">
        <v>5537.0729</v>
      </c>
      <c r="AB30" s="86">
        <v>0.0</v>
      </c>
      <c r="AC30" s="85">
        <f t="shared" si="11"/>
        <v>5537.0729</v>
      </c>
      <c r="AD30" s="86">
        <f t="shared" ref="AD30:AE30" si="125">AA30*0.95</f>
        <v>5260.219255</v>
      </c>
      <c r="AE30" s="86">
        <f t="shared" si="125"/>
        <v>0</v>
      </c>
      <c r="AF30" s="85">
        <f t="shared" si="13"/>
        <v>5260.219255</v>
      </c>
      <c r="AG30" s="86">
        <v>199.0</v>
      </c>
      <c r="AH30" s="86">
        <v>0.0</v>
      </c>
      <c r="AI30" s="85">
        <f t="shared" si="14"/>
        <v>199</v>
      </c>
      <c r="AJ30" s="86">
        <f t="shared" ref="AJ30:AK30" si="126">AG30/1.05506</f>
        <v>188.6148655</v>
      </c>
      <c r="AK30" s="86">
        <f t="shared" si="126"/>
        <v>0</v>
      </c>
      <c r="AL30" s="85">
        <f t="shared" si="16"/>
        <v>188.6148655</v>
      </c>
    </row>
    <row r="31" ht="14.25" customHeight="1">
      <c r="B31" s="69">
        <v>45797.0</v>
      </c>
      <c r="C31" s="70"/>
      <c r="D31" s="70"/>
      <c r="E31" s="68">
        <f t="shared" si="1"/>
        <v>0</v>
      </c>
      <c r="F31" s="86">
        <v>1771.0</v>
      </c>
      <c r="G31" s="86">
        <v>0.0</v>
      </c>
      <c r="H31" s="85">
        <f t="shared" si="17"/>
        <v>1771</v>
      </c>
      <c r="I31" s="87">
        <f t="shared" ref="I31:J31" si="127">F31*55000*0.35/1000/0.55</f>
        <v>61985</v>
      </c>
      <c r="J31" s="87">
        <f t="shared" si="127"/>
        <v>0</v>
      </c>
      <c r="K31" s="85">
        <f t="shared" si="19"/>
        <v>61985</v>
      </c>
      <c r="L31" s="86">
        <v>25250.0</v>
      </c>
      <c r="M31" s="86">
        <v>0.0</v>
      </c>
      <c r="N31" s="85">
        <f t="shared" si="3"/>
        <v>25250</v>
      </c>
      <c r="O31" s="86">
        <v>3312.2302158273383</v>
      </c>
      <c r="P31" s="86">
        <v>0.0</v>
      </c>
      <c r="Q31" s="85">
        <f t="shared" si="4"/>
        <v>3312.230216</v>
      </c>
      <c r="R31" s="86">
        <f t="shared" ref="R31:S31" si="128">L31-O31</f>
        <v>21937.76978</v>
      </c>
      <c r="S31" s="86">
        <f t="shared" si="128"/>
        <v>0</v>
      </c>
      <c r="T31" s="85">
        <f t="shared" si="6"/>
        <v>21937.76978</v>
      </c>
      <c r="U31" s="71">
        <f t="shared" ref="U31:V31" si="129">R31*0.55</f>
        <v>12065.77338</v>
      </c>
      <c r="V31" s="71">
        <f t="shared" si="129"/>
        <v>0</v>
      </c>
      <c r="W31" s="68">
        <f t="shared" si="8"/>
        <v>12065.77338</v>
      </c>
      <c r="X31" s="86">
        <f t="shared" ref="X31:Y31" si="130">U31/0.95</f>
        <v>12700.81409</v>
      </c>
      <c r="Y31" s="86">
        <f t="shared" si="130"/>
        <v>0</v>
      </c>
      <c r="Z31" s="85">
        <f t="shared" si="10"/>
        <v>12700.81409</v>
      </c>
      <c r="AA31" s="86">
        <v>4704.299</v>
      </c>
      <c r="AB31" s="86">
        <v>0.0</v>
      </c>
      <c r="AC31" s="85">
        <f t="shared" si="11"/>
        <v>4704.299</v>
      </c>
      <c r="AD31" s="86">
        <f t="shared" ref="AD31:AE31" si="131">AA31*0.95</f>
        <v>4469.08405</v>
      </c>
      <c r="AE31" s="86">
        <f t="shared" si="131"/>
        <v>0</v>
      </c>
      <c r="AF31" s="85">
        <f t="shared" si="13"/>
        <v>4469.08405</v>
      </c>
      <c r="AG31" s="86">
        <v>169.0</v>
      </c>
      <c r="AH31" s="86">
        <v>0.0</v>
      </c>
      <c r="AI31" s="85">
        <f t="shared" si="14"/>
        <v>169</v>
      </c>
      <c r="AJ31" s="86">
        <f t="shared" ref="AJ31:AK31" si="132">AG31/1.05506</f>
        <v>160.1804637</v>
      </c>
      <c r="AK31" s="86">
        <f t="shared" si="132"/>
        <v>0</v>
      </c>
      <c r="AL31" s="85">
        <f t="shared" si="16"/>
        <v>160.1804637</v>
      </c>
    </row>
    <row r="32" ht="14.25" customHeight="1">
      <c r="B32" s="69">
        <v>45798.0</v>
      </c>
      <c r="C32" s="70"/>
      <c r="D32" s="70"/>
      <c r="E32" s="68">
        <f t="shared" si="1"/>
        <v>0</v>
      </c>
      <c r="F32" s="86">
        <v>1247.0</v>
      </c>
      <c r="G32" s="86">
        <v>0.0</v>
      </c>
      <c r="H32" s="85">
        <f t="shared" si="17"/>
        <v>1247</v>
      </c>
      <c r="I32" s="87">
        <f t="shared" ref="I32:J32" si="133">F32*55000*0.35/1000/0.55</f>
        <v>43645</v>
      </c>
      <c r="J32" s="87">
        <f t="shared" si="133"/>
        <v>0</v>
      </c>
      <c r="K32" s="85">
        <f t="shared" si="19"/>
        <v>43645</v>
      </c>
      <c r="L32" s="86">
        <v>9801.0</v>
      </c>
      <c r="M32" s="86">
        <v>0.0</v>
      </c>
      <c r="N32" s="85">
        <f t="shared" si="3"/>
        <v>9801</v>
      </c>
      <c r="O32" s="86">
        <v>3594.244604316547</v>
      </c>
      <c r="P32" s="86">
        <v>0.0</v>
      </c>
      <c r="Q32" s="85">
        <f t="shared" si="4"/>
        <v>3594.244604</v>
      </c>
      <c r="R32" s="86">
        <f t="shared" ref="R32:S32" si="134">L32-O32</f>
        <v>6206.755396</v>
      </c>
      <c r="S32" s="86">
        <f t="shared" si="134"/>
        <v>0</v>
      </c>
      <c r="T32" s="85">
        <f t="shared" si="6"/>
        <v>6206.755396</v>
      </c>
      <c r="U32" s="71">
        <f t="shared" ref="U32:V32" si="135">R32*0.55</f>
        <v>3413.715468</v>
      </c>
      <c r="V32" s="71">
        <f t="shared" si="135"/>
        <v>0</v>
      </c>
      <c r="W32" s="68">
        <f t="shared" si="8"/>
        <v>3413.715468</v>
      </c>
      <c r="X32" s="86">
        <f t="shared" ref="X32:Y32" si="136">U32/0.95</f>
        <v>3593.384703</v>
      </c>
      <c r="Y32" s="86">
        <f t="shared" si="136"/>
        <v>0</v>
      </c>
      <c r="Z32" s="85">
        <f t="shared" si="10"/>
        <v>3593.384703</v>
      </c>
      <c r="AA32" s="86">
        <v>4777.6035</v>
      </c>
      <c r="AB32" s="86">
        <v>0.0</v>
      </c>
      <c r="AC32" s="85">
        <f t="shared" si="11"/>
        <v>4777.6035</v>
      </c>
      <c r="AD32" s="86">
        <f t="shared" ref="AD32:AE32" si="137">AA32*0.95</f>
        <v>4538.723325</v>
      </c>
      <c r="AE32" s="86">
        <f t="shared" si="137"/>
        <v>0</v>
      </c>
      <c r="AF32" s="85">
        <f t="shared" si="13"/>
        <v>4538.723325</v>
      </c>
      <c r="AG32" s="86">
        <v>172.0</v>
      </c>
      <c r="AH32" s="86">
        <v>0.0</v>
      </c>
      <c r="AI32" s="85">
        <f t="shared" si="14"/>
        <v>172</v>
      </c>
      <c r="AJ32" s="86">
        <f t="shared" ref="AJ32:AK32" si="138">AG32/1.05506</f>
        <v>163.0239039</v>
      </c>
      <c r="AK32" s="86">
        <f t="shared" si="138"/>
        <v>0</v>
      </c>
      <c r="AL32" s="85">
        <f t="shared" si="16"/>
        <v>163.0239039</v>
      </c>
    </row>
    <row r="33" ht="14.25" customHeight="1">
      <c r="B33" s="69">
        <v>45799.0</v>
      </c>
      <c r="C33" s="70"/>
      <c r="D33" s="70"/>
      <c r="E33" s="68">
        <f t="shared" si="1"/>
        <v>0</v>
      </c>
      <c r="F33" s="86">
        <v>873.0</v>
      </c>
      <c r="G33" s="86">
        <v>0.0</v>
      </c>
      <c r="H33" s="85">
        <f t="shared" si="17"/>
        <v>873</v>
      </c>
      <c r="I33" s="87">
        <f t="shared" ref="I33:J33" si="139">F33*55000*0.35/1000/0.55</f>
        <v>30555</v>
      </c>
      <c r="J33" s="87">
        <f t="shared" si="139"/>
        <v>0</v>
      </c>
      <c r="K33" s="85">
        <f t="shared" si="19"/>
        <v>30555</v>
      </c>
      <c r="L33" s="86">
        <v>21978.0</v>
      </c>
      <c r="M33" s="86">
        <v>0.0</v>
      </c>
      <c r="N33" s="85">
        <f t="shared" si="3"/>
        <v>21978</v>
      </c>
      <c r="O33" s="86">
        <v>3662.94964028777</v>
      </c>
      <c r="P33" s="86">
        <v>0.0</v>
      </c>
      <c r="Q33" s="85">
        <f t="shared" si="4"/>
        <v>3662.94964</v>
      </c>
      <c r="R33" s="86">
        <f t="shared" ref="R33:S33" si="140">L33-O33</f>
        <v>18315.05036</v>
      </c>
      <c r="S33" s="86">
        <f t="shared" si="140"/>
        <v>0</v>
      </c>
      <c r="T33" s="85">
        <f t="shared" si="6"/>
        <v>18315.05036</v>
      </c>
      <c r="U33" s="71">
        <f t="shared" ref="U33:V33" si="141">R33*0.55</f>
        <v>10073.2777</v>
      </c>
      <c r="V33" s="71">
        <f t="shared" si="141"/>
        <v>0</v>
      </c>
      <c r="W33" s="68">
        <f t="shared" si="8"/>
        <v>10073.2777</v>
      </c>
      <c r="X33" s="86">
        <f t="shared" ref="X33:Y33" si="142">U33/0.95</f>
        <v>10603.45021</v>
      </c>
      <c r="Y33" s="86">
        <f t="shared" si="142"/>
        <v>0</v>
      </c>
      <c r="Z33" s="85">
        <f t="shared" si="10"/>
        <v>10603.45021</v>
      </c>
      <c r="AA33" s="86">
        <v>5651.0241</v>
      </c>
      <c r="AB33" s="86">
        <v>0.0</v>
      </c>
      <c r="AC33" s="85">
        <f t="shared" si="11"/>
        <v>5651.0241</v>
      </c>
      <c r="AD33" s="86">
        <f t="shared" ref="AD33:AE33" si="143">AA33*0.95</f>
        <v>5368.472895</v>
      </c>
      <c r="AE33" s="86">
        <f t="shared" si="143"/>
        <v>0</v>
      </c>
      <c r="AF33" s="85">
        <f t="shared" si="13"/>
        <v>5368.472895</v>
      </c>
      <c r="AG33" s="86">
        <v>203.0</v>
      </c>
      <c r="AH33" s="86">
        <v>0.0</v>
      </c>
      <c r="AI33" s="85">
        <f t="shared" si="14"/>
        <v>203</v>
      </c>
      <c r="AJ33" s="86">
        <f t="shared" ref="AJ33:AK33" si="144">AG33/1.05506</f>
        <v>192.4061191</v>
      </c>
      <c r="AK33" s="86">
        <f t="shared" si="144"/>
        <v>0</v>
      </c>
      <c r="AL33" s="85">
        <f t="shared" si="16"/>
        <v>192.4061191</v>
      </c>
    </row>
    <row r="34" ht="14.25" customHeight="1">
      <c r="B34" s="69">
        <v>45800.0</v>
      </c>
      <c r="C34" s="70"/>
      <c r="D34" s="70"/>
      <c r="E34" s="68">
        <f t="shared" si="1"/>
        <v>0</v>
      </c>
      <c r="F34" s="86">
        <v>1093.0</v>
      </c>
      <c r="G34" s="86">
        <v>0.0</v>
      </c>
      <c r="H34" s="85">
        <f t="shared" si="17"/>
        <v>1093</v>
      </c>
      <c r="I34" s="87">
        <f t="shared" ref="I34:J34" si="145">F34*55000*0.35/1000/0.55</f>
        <v>38255</v>
      </c>
      <c r="J34" s="87">
        <f t="shared" si="145"/>
        <v>0</v>
      </c>
      <c r="K34" s="85">
        <f t="shared" si="19"/>
        <v>38255</v>
      </c>
      <c r="L34" s="86">
        <v>24958.0</v>
      </c>
      <c r="M34" s="86">
        <v>0.0</v>
      </c>
      <c r="N34" s="85">
        <f t="shared" si="3"/>
        <v>24958</v>
      </c>
      <c r="O34" s="86">
        <v>4750.719424460432</v>
      </c>
      <c r="P34" s="86">
        <v>0.0</v>
      </c>
      <c r="Q34" s="85">
        <f t="shared" si="4"/>
        <v>4750.719424</v>
      </c>
      <c r="R34" s="86">
        <f t="shared" ref="R34:S34" si="146">L34-O34</f>
        <v>20207.28058</v>
      </c>
      <c r="S34" s="86">
        <f t="shared" si="146"/>
        <v>0</v>
      </c>
      <c r="T34" s="85">
        <f t="shared" si="6"/>
        <v>20207.28058</v>
      </c>
      <c r="U34" s="71">
        <f t="shared" ref="U34:V34" si="147">R34*0.55</f>
        <v>11114.00432</v>
      </c>
      <c r="V34" s="71">
        <f t="shared" si="147"/>
        <v>0</v>
      </c>
      <c r="W34" s="68">
        <f t="shared" si="8"/>
        <v>11114.00432</v>
      </c>
      <c r="X34" s="86">
        <f t="shared" ref="X34:Y34" si="148">U34/0.95</f>
        <v>11698.95191</v>
      </c>
      <c r="Y34" s="86">
        <f t="shared" si="148"/>
        <v>0</v>
      </c>
      <c r="Z34" s="85">
        <f t="shared" si="10"/>
        <v>11698.95191</v>
      </c>
      <c r="AA34" s="86">
        <v>6032.3027</v>
      </c>
      <c r="AB34" s="86">
        <v>0.0</v>
      </c>
      <c r="AC34" s="85">
        <f t="shared" si="11"/>
        <v>6032.3027</v>
      </c>
      <c r="AD34" s="86">
        <f t="shared" ref="AD34:AE34" si="149">AA34*0.95</f>
        <v>5730.687565</v>
      </c>
      <c r="AE34" s="86">
        <f t="shared" si="149"/>
        <v>0</v>
      </c>
      <c r="AF34" s="85">
        <f t="shared" si="13"/>
        <v>5730.687565</v>
      </c>
      <c r="AG34" s="86">
        <v>217.0</v>
      </c>
      <c r="AH34" s="86">
        <v>0.0</v>
      </c>
      <c r="AI34" s="85">
        <f t="shared" si="14"/>
        <v>217</v>
      </c>
      <c r="AJ34" s="86">
        <f t="shared" ref="AJ34:AK34" si="150">AG34/1.05506</f>
        <v>205.6755066</v>
      </c>
      <c r="AK34" s="86">
        <f t="shared" si="150"/>
        <v>0</v>
      </c>
      <c r="AL34" s="85">
        <f t="shared" si="16"/>
        <v>205.6755066</v>
      </c>
    </row>
    <row r="35" ht="14.25" customHeight="1">
      <c r="B35" s="69">
        <v>45801.0</v>
      </c>
      <c r="C35" s="70"/>
      <c r="D35" s="70"/>
      <c r="E35" s="68">
        <f t="shared" si="1"/>
        <v>0</v>
      </c>
      <c r="F35" s="86">
        <v>1052.0</v>
      </c>
      <c r="G35" s="86">
        <v>0.0</v>
      </c>
      <c r="H35" s="85">
        <f t="shared" si="17"/>
        <v>1052</v>
      </c>
      <c r="I35" s="87">
        <f t="shared" ref="I35:J35" si="151">F35*55000*0.35/1000/0.55</f>
        <v>36820</v>
      </c>
      <c r="J35" s="87">
        <f t="shared" si="151"/>
        <v>0</v>
      </c>
      <c r="K35" s="85">
        <f t="shared" si="19"/>
        <v>36820</v>
      </c>
      <c r="L35" s="86">
        <v>36943.0</v>
      </c>
      <c r="M35" s="86">
        <v>0.0</v>
      </c>
      <c r="N35" s="85">
        <f t="shared" si="3"/>
        <v>36943</v>
      </c>
      <c r="O35" s="86">
        <v>3694.6043165467627</v>
      </c>
      <c r="P35" s="86">
        <v>0.0</v>
      </c>
      <c r="Q35" s="85">
        <f t="shared" si="4"/>
        <v>3694.604317</v>
      </c>
      <c r="R35" s="86">
        <f t="shared" ref="R35:S35" si="152">L35-O35</f>
        <v>33248.39568</v>
      </c>
      <c r="S35" s="86">
        <f t="shared" si="152"/>
        <v>0</v>
      </c>
      <c r="T35" s="85">
        <f t="shared" si="6"/>
        <v>33248.39568</v>
      </c>
      <c r="U35" s="71">
        <f t="shared" ref="U35:V35" si="153">R35*0.55</f>
        <v>18286.61763</v>
      </c>
      <c r="V35" s="71">
        <f t="shared" si="153"/>
        <v>0</v>
      </c>
      <c r="W35" s="68">
        <f t="shared" si="8"/>
        <v>18286.61763</v>
      </c>
      <c r="X35" s="86">
        <f t="shared" ref="X35:Y35" si="154">U35/0.95</f>
        <v>19249.07119</v>
      </c>
      <c r="Y35" s="86">
        <f t="shared" si="154"/>
        <v>0</v>
      </c>
      <c r="Z35" s="85">
        <f t="shared" si="10"/>
        <v>19249.07119</v>
      </c>
      <c r="AA35" s="86">
        <v>6419.8244</v>
      </c>
      <c r="AB35" s="86">
        <v>0.0</v>
      </c>
      <c r="AC35" s="85">
        <f t="shared" si="11"/>
        <v>6419.8244</v>
      </c>
      <c r="AD35" s="86">
        <f t="shared" ref="AD35:AE35" si="155">AA35*0.95</f>
        <v>6098.83318</v>
      </c>
      <c r="AE35" s="86">
        <f t="shared" si="155"/>
        <v>0</v>
      </c>
      <c r="AF35" s="85">
        <f t="shared" si="13"/>
        <v>6098.83318</v>
      </c>
      <c r="AG35" s="86">
        <v>231.0</v>
      </c>
      <c r="AH35" s="86">
        <v>0.0</v>
      </c>
      <c r="AI35" s="85">
        <f t="shared" si="14"/>
        <v>231</v>
      </c>
      <c r="AJ35" s="86">
        <f t="shared" ref="AJ35:AK35" si="156">AG35/1.05506</f>
        <v>218.9448941</v>
      </c>
      <c r="AK35" s="86">
        <f t="shared" si="156"/>
        <v>0</v>
      </c>
      <c r="AL35" s="85">
        <f t="shared" si="16"/>
        <v>218.9448941</v>
      </c>
    </row>
    <row r="36" ht="14.25" customHeight="1">
      <c r="B36" s="69">
        <v>45802.0</v>
      </c>
      <c r="C36" s="70"/>
      <c r="D36" s="70"/>
      <c r="E36" s="68">
        <f t="shared" si="1"/>
        <v>0</v>
      </c>
      <c r="F36" s="86">
        <v>141.0</v>
      </c>
      <c r="G36" s="86">
        <v>0.0</v>
      </c>
      <c r="H36" s="85">
        <f t="shared" si="17"/>
        <v>141</v>
      </c>
      <c r="I36" s="87">
        <f t="shared" ref="I36:J36" si="157">F36*55000*0.35/1000/0.55</f>
        <v>4935</v>
      </c>
      <c r="J36" s="87">
        <f t="shared" si="157"/>
        <v>0</v>
      </c>
      <c r="K36" s="85">
        <f t="shared" si="19"/>
        <v>4935</v>
      </c>
      <c r="L36" s="86">
        <v>24816.0</v>
      </c>
      <c r="M36" s="86">
        <v>0.0</v>
      </c>
      <c r="N36" s="85">
        <f t="shared" si="3"/>
        <v>24816</v>
      </c>
      <c r="O36" s="86">
        <v>3587.769784172662</v>
      </c>
      <c r="P36" s="86">
        <v>0.0</v>
      </c>
      <c r="Q36" s="85">
        <f t="shared" si="4"/>
        <v>3587.769784</v>
      </c>
      <c r="R36" s="86">
        <f t="shared" ref="R36:S36" si="158">L36-O36</f>
        <v>21228.23022</v>
      </c>
      <c r="S36" s="86">
        <f t="shared" si="158"/>
        <v>0</v>
      </c>
      <c r="T36" s="85">
        <f t="shared" si="6"/>
        <v>21228.23022</v>
      </c>
      <c r="U36" s="71">
        <f t="shared" ref="U36:V36" si="159">R36*0.55</f>
        <v>11675.52662</v>
      </c>
      <c r="V36" s="71">
        <f t="shared" si="159"/>
        <v>0</v>
      </c>
      <c r="W36" s="68">
        <f t="shared" si="8"/>
        <v>11675.52662</v>
      </c>
      <c r="X36" s="86">
        <f t="shared" ref="X36:Y36" si="160">U36/0.95</f>
        <v>12290.02802</v>
      </c>
      <c r="Y36" s="86">
        <f t="shared" si="160"/>
        <v>0</v>
      </c>
      <c r="Z36" s="85">
        <f t="shared" si="10"/>
        <v>12290.02802</v>
      </c>
      <c r="AA36" s="86">
        <v>6521.1869</v>
      </c>
      <c r="AB36" s="86">
        <v>0.0</v>
      </c>
      <c r="AC36" s="85">
        <f t="shared" si="11"/>
        <v>6521.1869</v>
      </c>
      <c r="AD36" s="86">
        <f t="shared" ref="AD36:AE36" si="161">AA36*0.95</f>
        <v>6195.127555</v>
      </c>
      <c r="AE36" s="86">
        <f t="shared" si="161"/>
        <v>0</v>
      </c>
      <c r="AF36" s="85">
        <f t="shared" si="13"/>
        <v>6195.127555</v>
      </c>
      <c r="AG36" s="86">
        <v>234.0</v>
      </c>
      <c r="AH36" s="86">
        <v>0.0</v>
      </c>
      <c r="AI36" s="85">
        <f t="shared" si="14"/>
        <v>234</v>
      </c>
      <c r="AJ36" s="86">
        <f t="shared" ref="AJ36:AK36" si="162">AG36/1.05506</f>
        <v>221.7883343</v>
      </c>
      <c r="AK36" s="86">
        <f t="shared" si="162"/>
        <v>0</v>
      </c>
      <c r="AL36" s="85">
        <f t="shared" si="16"/>
        <v>221.7883343</v>
      </c>
    </row>
    <row r="37" ht="14.25" customHeight="1">
      <c r="B37" s="69">
        <v>45803.0</v>
      </c>
      <c r="C37" s="70"/>
      <c r="D37" s="70"/>
      <c r="E37" s="68">
        <f t="shared" si="1"/>
        <v>0</v>
      </c>
      <c r="F37" s="86">
        <v>1157.0</v>
      </c>
      <c r="G37" s="86">
        <v>0.0</v>
      </c>
      <c r="H37" s="85">
        <f t="shared" si="17"/>
        <v>1157</v>
      </c>
      <c r="I37" s="87">
        <f t="shared" ref="I37:J37" si="163">F37*55000*0.35/1000/0.55</f>
        <v>40495</v>
      </c>
      <c r="J37" s="87">
        <f t="shared" si="163"/>
        <v>0</v>
      </c>
      <c r="K37" s="85">
        <f t="shared" si="19"/>
        <v>40495</v>
      </c>
      <c r="L37" s="86">
        <v>24845.0</v>
      </c>
      <c r="M37" s="86">
        <v>0.0</v>
      </c>
      <c r="N37" s="85">
        <f t="shared" si="3"/>
        <v>24845</v>
      </c>
      <c r="O37" s="86">
        <v>3005.395683453238</v>
      </c>
      <c r="P37" s="86">
        <v>0.0</v>
      </c>
      <c r="Q37" s="85">
        <f t="shared" si="4"/>
        <v>3005.395683</v>
      </c>
      <c r="R37" s="86">
        <f t="shared" ref="R37:S37" si="164">L37-O37</f>
        <v>21839.60432</v>
      </c>
      <c r="S37" s="86">
        <f t="shared" si="164"/>
        <v>0</v>
      </c>
      <c r="T37" s="85">
        <f t="shared" si="6"/>
        <v>21839.60432</v>
      </c>
      <c r="U37" s="71">
        <f t="shared" ref="U37:V37" si="165">R37*0.55</f>
        <v>12011.78237</v>
      </c>
      <c r="V37" s="71">
        <f t="shared" si="165"/>
        <v>0</v>
      </c>
      <c r="W37" s="68">
        <f t="shared" si="8"/>
        <v>12011.78237</v>
      </c>
      <c r="X37" s="86">
        <f t="shared" ref="X37:Y37" si="166">U37/0.95</f>
        <v>12643.98145</v>
      </c>
      <c r="Y37" s="86">
        <f t="shared" si="166"/>
        <v>0</v>
      </c>
      <c r="Z37" s="85">
        <f t="shared" si="10"/>
        <v>12643.98145</v>
      </c>
      <c r="AA37" s="86">
        <v>5843.0576</v>
      </c>
      <c r="AB37" s="86">
        <v>0.0</v>
      </c>
      <c r="AC37" s="85">
        <f t="shared" si="11"/>
        <v>5843.0576</v>
      </c>
      <c r="AD37" s="86">
        <f t="shared" ref="AD37:AE37" si="167">AA37*0.95</f>
        <v>5550.90472</v>
      </c>
      <c r="AE37" s="86">
        <f t="shared" si="167"/>
        <v>0</v>
      </c>
      <c r="AF37" s="85">
        <f t="shared" si="13"/>
        <v>5550.90472</v>
      </c>
      <c r="AG37" s="86">
        <v>210.0</v>
      </c>
      <c r="AH37" s="86">
        <v>0.0</v>
      </c>
      <c r="AI37" s="85">
        <f t="shared" si="14"/>
        <v>210</v>
      </c>
      <c r="AJ37" s="86">
        <f t="shared" ref="AJ37:AK37" si="168">AG37/1.05506</f>
        <v>199.0408128</v>
      </c>
      <c r="AK37" s="86">
        <f t="shared" si="168"/>
        <v>0</v>
      </c>
      <c r="AL37" s="85">
        <f t="shared" si="16"/>
        <v>199.0408128</v>
      </c>
    </row>
    <row r="38" ht="14.25" customHeight="1">
      <c r="B38" s="69">
        <v>45804.0</v>
      </c>
      <c r="C38" s="70"/>
      <c r="D38" s="70"/>
      <c r="E38" s="68">
        <f t="shared" si="1"/>
        <v>0</v>
      </c>
      <c r="F38" s="86">
        <v>1290.0</v>
      </c>
      <c r="G38" s="86">
        <v>0.0</v>
      </c>
      <c r="H38" s="85">
        <f t="shared" si="17"/>
        <v>1290</v>
      </c>
      <c r="I38" s="87">
        <f t="shared" ref="I38:J38" si="169">F38*55000*0.35/1000/0.55</f>
        <v>45150</v>
      </c>
      <c r="J38" s="87">
        <f t="shared" si="169"/>
        <v>0</v>
      </c>
      <c r="K38" s="85">
        <f t="shared" si="19"/>
        <v>45150</v>
      </c>
      <c r="L38" s="86">
        <v>25130.0</v>
      </c>
      <c r="M38" s="86">
        <v>0.0</v>
      </c>
      <c r="N38" s="85">
        <f t="shared" si="3"/>
        <v>25130</v>
      </c>
      <c r="O38" s="86">
        <v>4985.251798561151</v>
      </c>
      <c r="P38" s="86">
        <v>0.0</v>
      </c>
      <c r="Q38" s="85">
        <f t="shared" si="4"/>
        <v>4985.251799</v>
      </c>
      <c r="R38" s="86">
        <f t="shared" ref="R38:S38" si="170">L38-O38</f>
        <v>20144.7482</v>
      </c>
      <c r="S38" s="86">
        <f t="shared" si="170"/>
        <v>0</v>
      </c>
      <c r="T38" s="85">
        <f t="shared" si="6"/>
        <v>20144.7482</v>
      </c>
      <c r="U38" s="71">
        <f t="shared" ref="U38:V38" si="171">R38*0.55</f>
        <v>11079.61151</v>
      </c>
      <c r="V38" s="71">
        <f t="shared" si="171"/>
        <v>0</v>
      </c>
      <c r="W38" s="68">
        <f t="shared" si="8"/>
        <v>11079.61151</v>
      </c>
      <c r="X38" s="86">
        <f t="shared" ref="X38:Y38" si="172">U38/0.95</f>
        <v>11662.74896</v>
      </c>
      <c r="Y38" s="86">
        <f t="shared" si="172"/>
        <v>0</v>
      </c>
      <c r="Z38" s="85">
        <f t="shared" si="10"/>
        <v>11662.74896</v>
      </c>
      <c r="AA38" s="86">
        <v>6150.1594</v>
      </c>
      <c r="AB38" s="86">
        <v>0.0</v>
      </c>
      <c r="AC38" s="85">
        <f t="shared" si="11"/>
        <v>6150.1594</v>
      </c>
      <c r="AD38" s="86">
        <f t="shared" ref="AD38:AE38" si="173">AA38*0.95</f>
        <v>5842.65143</v>
      </c>
      <c r="AE38" s="86">
        <f t="shared" si="173"/>
        <v>0</v>
      </c>
      <c r="AF38" s="85">
        <f t="shared" si="13"/>
        <v>5842.65143</v>
      </c>
      <c r="AG38" s="86">
        <v>221.0</v>
      </c>
      <c r="AH38" s="86">
        <v>0.0</v>
      </c>
      <c r="AI38" s="85">
        <f t="shared" si="14"/>
        <v>221</v>
      </c>
      <c r="AJ38" s="86">
        <f t="shared" ref="AJ38:AK38" si="174">AG38/1.05506</f>
        <v>209.4667602</v>
      </c>
      <c r="AK38" s="86">
        <f t="shared" si="174"/>
        <v>0</v>
      </c>
      <c r="AL38" s="85">
        <f t="shared" si="16"/>
        <v>209.4667602</v>
      </c>
    </row>
    <row r="39" ht="14.25" customHeight="1">
      <c r="B39" s="69">
        <v>45805.0</v>
      </c>
      <c r="C39" s="70"/>
      <c r="D39" s="70"/>
      <c r="E39" s="68">
        <f t="shared" si="1"/>
        <v>0</v>
      </c>
      <c r="F39" s="86">
        <v>971.0</v>
      </c>
      <c r="G39" s="86">
        <v>0.0</v>
      </c>
      <c r="H39" s="85">
        <f t="shared" si="17"/>
        <v>971</v>
      </c>
      <c r="I39" s="87">
        <f t="shared" ref="I39:J39" si="175">F39*55000*0.35/1000/0.55</f>
        <v>33985</v>
      </c>
      <c r="J39" s="87">
        <f t="shared" si="175"/>
        <v>0</v>
      </c>
      <c r="K39" s="85">
        <f t="shared" si="19"/>
        <v>33985</v>
      </c>
      <c r="L39" s="86">
        <v>24969.0</v>
      </c>
      <c r="M39" s="86">
        <v>0.0</v>
      </c>
      <c r="N39" s="85">
        <f t="shared" si="3"/>
        <v>24969</v>
      </c>
      <c r="O39" s="86">
        <v>3496.0431654676263</v>
      </c>
      <c r="P39" s="86">
        <v>0.0</v>
      </c>
      <c r="Q39" s="85">
        <f t="shared" si="4"/>
        <v>3496.043165</v>
      </c>
      <c r="R39" s="86">
        <f t="shared" ref="R39:S39" si="176">L39-O39</f>
        <v>21472.95683</v>
      </c>
      <c r="S39" s="86">
        <f t="shared" si="176"/>
        <v>0</v>
      </c>
      <c r="T39" s="85">
        <f t="shared" si="6"/>
        <v>21472.95683</v>
      </c>
      <c r="U39" s="71">
        <f t="shared" ref="U39:V39" si="177">R39*0.55</f>
        <v>11810.12626</v>
      </c>
      <c r="V39" s="71">
        <f t="shared" si="177"/>
        <v>0</v>
      </c>
      <c r="W39" s="68">
        <f t="shared" si="8"/>
        <v>11810.12626</v>
      </c>
      <c r="X39" s="86">
        <f t="shared" ref="X39:Y39" si="178">U39/0.95</f>
        <v>12431.71185</v>
      </c>
      <c r="Y39" s="86">
        <f t="shared" si="178"/>
        <v>0</v>
      </c>
      <c r="Z39" s="85">
        <f t="shared" si="10"/>
        <v>12431.71185</v>
      </c>
      <c r="AA39" s="86">
        <v>5868.1919</v>
      </c>
      <c r="AB39" s="86">
        <v>0.0</v>
      </c>
      <c r="AC39" s="85">
        <f t="shared" si="11"/>
        <v>5868.1919</v>
      </c>
      <c r="AD39" s="86">
        <f t="shared" ref="AD39:AE39" si="179">AA39*0.95</f>
        <v>5574.782305</v>
      </c>
      <c r="AE39" s="86">
        <f t="shared" si="179"/>
        <v>0</v>
      </c>
      <c r="AF39" s="85">
        <f t="shared" si="13"/>
        <v>5574.782305</v>
      </c>
      <c r="AG39" s="86">
        <v>211.0</v>
      </c>
      <c r="AH39" s="86">
        <v>0.0</v>
      </c>
      <c r="AI39" s="85">
        <f t="shared" si="14"/>
        <v>211</v>
      </c>
      <c r="AJ39" s="86">
        <f t="shared" ref="AJ39:AK39" si="180">AG39/1.05506</f>
        <v>199.9886262</v>
      </c>
      <c r="AK39" s="86">
        <f t="shared" si="180"/>
        <v>0</v>
      </c>
      <c r="AL39" s="85">
        <f t="shared" si="16"/>
        <v>199.9886262</v>
      </c>
    </row>
    <row r="40" ht="14.25" customHeight="1">
      <c r="B40" s="69">
        <v>45806.0</v>
      </c>
      <c r="C40" s="70"/>
      <c r="D40" s="70"/>
      <c r="E40" s="68">
        <f t="shared" si="1"/>
        <v>0</v>
      </c>
      <c r="F40" s="86">
        <v>1005.0</v>
      </c>
      <c r="G40" s="86">
        <v>0.0</v>
      </c>
      <c r="H40" s="85">
        <f t="shared" si="17"/>
        <v>1005</v>
      </c>
      <c r="I40" s="87">
        <f t="shared" ref="I40:J40" si="181">F40*55000*0.35/1000/0.55</f>
        <v>35175</v>
      </c>
      <c r="J40" s="87">
        <f t="shared" si="181"/>
        <v>0</v>
      </c>
      <c r="K40" s="85">
        <f t="shared" si="19"/>
        <v>35175</v>
      </c>
      <c r="L40" s="86">
        <v>25409.0</v>
      </c>
      <c r="M40" s="86">
        <v>0.0</v>
      </c>
      <c r="N40" s="85">
        <f t="shared" si="3"/>
        <v>25409</v>
      </c>
      <c r="O40" s="86">
        <v>3494.9640287769785</v>
      </c>
      <c r="P40" s="86">
        <v>0.0</v>
      </c>
      <c r="Q40" s="85">
        <f t="shared" si="4"/>
        <v>3494.964029</v>
      </c>
      <c r="R40" s="86">
        <f t="shared" ref="R40:S40" si="182">L40-O40</f>
        <v>21914.03597</v>
      </c>
      <c r="S40" s="86">
        <f t="shared" si="182"/>
        <v>0</v>
      </c>
      <c r="T40" s="85">
        <f t="shared" si="6"/>
        <v>21914.03597</v>
      </c>
      <c r="U40" s="71">
        <f t="shared" ref="U40:V40" si="183">R40*0.55</f>
        <v>12052.71978</v>
      </c>
      <c r="V40" s="71">
        <f t="shared" si="183"/>
        <v>0</v>
      </c>
      <c r="W40" s="68"/>
      <c r="X40" s="86">
        <f t="shared" ref="X40:Y40" si="184">U40/0.95</f>
        <v>12687.07346</v>
      </c>
      <c r="Y40" s="86">
        <f t="shared" si="184"/>
        <v>0</v>
      </c>
      <c r="Z40" s="85">
        <f t="shared" si="10"/>
        <v>12687.07346</v>
      </c>
      <c r="AA40" s="86">
        <v>6245.4667</v>
      </c>
      <c r="AB40" s="86">
        <v>0.0</v>
      </c>
      <c r="AC40" s="85">
        <f t="shared" si="11"/>
        <v>6245.4667</v>
      </c>
      <c r="AD40" s="86">
        <f t="shared" ref="AD40:AE40" si="185">AA40*0.95</f>
        <v>5933.193365</v>
      </c>
      <c r="AE40" s="86">
        <f t="shared" si="185"/>
        <v>0</v>
      </c>
      <c r="AF40" s="85">
        <f t="shared" si="13"/>
        <v>5933.193365</v>
      </c>
      <c r="AG40" s="86">
        <v>224.0</v>
      </c>
      <c r="AH40" s="86">
        <v>0.0</v>
      </c>
      <c r="AI40" s="85">
        <f t="shared" si="14"/>
        <v>224</v>
      </c>
      <c r="AJ40" s="86">
        <f t="shared" ref="AJ40:AK40" si="186">AG40/1.05506</f>
        <v>212.3102004</v>
      </c>
      <c r="AK40" s="86">
        <f t="shared" si="186"/>
        <v>0</v>
      </c>
      <c r="AL40" s="85">
        <f t="shared" si="16"/>
        <v>212.3102004</v>
      </c>
    </row>
    <row r="41" ht="14.25" customHeight="1">
      <c r="B41" s="69">
        <v>45807.0</v>
      </c>
      <c r="C41" s="70"/>
      <c r="D41" s="70"/>
      <c r="E41" s="68">
        <f t="shared" si="1"/>
        <v>0</v>
      </c>
      <c r="F41" s="86">
        <v>1095.0</v>
      </c>
      <c r="G41" s="86">
        <v>0.0</v>
      </c>
      <c r="H41" s="85">
        <f t="shared" si="17"/>
        <v>1095</v>
      </c>
      <c r="I41" s="87">
        <f t="shared" ref="I41:J41" si="187">F41*55000*0.35/1000/0.55</f>
        <v>38325</v>
      </c>
      <c r="J41" s="87">
        <f t="shared" si="187"/>
        <v>0</v>
      </c>
      <c r="K41" s="85">
        <f t="shared" si="19"/>
        <v>38325</v>
      </c>
      <c r="L41" s="86">
        <v>24906.0</v>
      </c>
      <c r="M41" s="86">
        <v>0.0</v>
      </c>
      <c r="N41" s="85">
        <f t="shared" si="3"/>
        <v>24906</v>
      </c>
      <c r="O41" s="86">
        <v>3599.640287769784</v>
      </c>
      <c r="P41" s="86">
        <v>0.0</v>
      </c>
      <c r="Q41" s="85">
        <f t="shared" si="4"/>
        <v>3599.640288</v>
      </c>
      <c r="R41" s="86">
        <f t="shared" ref="R41:S41" si="188">L41-O41</f>
        <v>21306.35971</v>
      </c>
      <c r="S41" s="86">
        <f t="shared" si="188"/>
        <v>0</v>
      </c>
      <c r="T41" s="85">
        <f t="shared" si="6"/>
        <v>21306.35971</v>
      </c>
      <c r="U41" s="71">
        <f t="shared" ref="U41:V41" si="189">R41*0.55</f>
        <v>11718.49784</v>
      </c>
      <c r="V41" s="71">
        <f t="shared" si="189"/>
        <v>0</v>
      </c>
      <c r="W41" s="68">
        <f t="shared" ref="W41:W42" si="196">SUM(U41+V41)</f>
        <v>11718.49784</v>
      </c>
      <c r="X41" s="86">
        <f t="shared" ref="X41:Y41" si="190">U41/0.95</f>
        <v>12335.26089</v>
      </c>
      <c r="Y41" s="86">
        <f t="shared" si="190"/>
        <v>0</v>
      </c>
      <c r="Z41" s="85">
        <f t="shared" si="10"/>
        <v>12335.26089</v>
      </c>
      <c r="AA41" s="86">
        <v>6226.0777</v>
      </c>
      <c r="AB41" s="86">
        <v>0.0</v>
      </c>
      <c r="AC41" s="85">
        <f t="shared" si="11"/>
        <v>6226.0777</v>
      </c>
      <c r="AD41" s="86">
        <f t="shared" ref="AD41:AE41" si="191">AA41*0.95</f>
        <v>5914.773815</v>
      </c>
      <c r="AE41" s="86">
        <f t="shared" si="191"/>
        <v>0</v>
      </c>
      <c r="AF41" s="85">
        <f t="shared" si="13"/>
        <v>5914.773815</v>
      </c>
      <c r="AG41" s="86">
        <v>224.0</v>
      </c>
      <c r="AH41" s="86">
        <v>0.0</v>
      </c>
      <c r="AI41" s="85">
        <f t="shared" si="14"/>
        <v>224</v>
      </c>
      <c r="AJ41" s="86">
        <f t="shared" ref="AJ41:AK41" si="192">AG41/1.05506</f>
        <v>212.3102004</v>
      </c>
      <c r="AK41" s="86">
        <f t="shared" si="192"/>
        <v>0</v>
      </c>
      <c r="AL41" s="85">
        <f t="shared" si="16"/>
        <v>212.3102004</v>
      </c>
    </row>
    <row r="42" ht="14.25" customHeight="1">
      <c r="B42" s="69">
        <v>45808.0</v>
      </c>
      <c r="C42" s="70"/>
      <c r="D42" s="70"/>
      <c r="E42" s="68">
        <f t="shared" si="1"/>
        <v>0</v>
      </c>
      <c r="F42" s="86">
        <v>1138.0</v>
      </c>
      <c r="G42" s="86">
        <v>0.0</v>
      </c>
      <c r="H42" s="85">
        <f t="shared" si="17"/>
        <v>1138</v>
      </c>
      <c r="I42" s="87">
        <f t="shared" ref="I42:J42" si="193">F42*55000*0.35/1000/0.55</f>
        <v>39830</v>
      </c>
      <c r="J42" s="87">
        <f t="shared" si="193"/>
        <v>0</v>
      </c>
      <c r="K42" s="85">
        <f t="shared" si="19"/>
        <v>39830</v>
      </c>
      <c r="L42" s="86">
        <v>25178.0</v>
      </c>
      <c r="M42" s="86">
        <v>0.0</v>
      </c>
      <c r="N42" s="85">
        <f t="shared" si="3"/>
        <v>25178</v>
      </c>
      <c r="O42" s="86">
        <v>3543.884892086331</v>
      </c>
      <c r="P42" s="86">
        <v>0.0</v>
      </c>
      <c r="Q42" s="85">
        <f t="shared" si="4"/>
        <v>3543.884892</v>
      </c>
      <c r="R42" s="86">
        <f t="shared" ref="R42:S42" si="194">L42-O42</f>
        <v>21634.11511</v>
      </c>
      <c r="S42" s="86">
        <f t="shared" si="194"/>
        <v>0</v>
      </c>
      <c r="T42" s="85">
        <f t="shared" si="6"/>
        <v>21634.11511</v>
      </c>
      <c r="U42" s="71">
        <f t="shared" ref="U42:V42" si="195">R42*0.55</f>
        <v>11898.76331</v>
      </c>
      <c r="V42" s="71">
        <f t="shared" si="195"/>
        <v>0</v>
      </c>
      <c r="W42" s="68">
        <f t="shared" si="196"/>
        <v>11898.76331</v>
      </c>
      <c r="X42" s="86">
        <f t="shared" ref="X42:Y42" si="197">U42/0.95</f>
        <v>12525.01401</v>
      </c>
      <c r="Y42" s="86">
        <f t="shared" si="197"/>
        <v>0</v>
      </c>
      <c r="Z42" s="85">
        <f t="shared" si="10"/>
        <v>12525.01401</v>
      </c>
      <c r="AA42" s="86">
        <v>6215.5416</v>
      </c>
      <c r="AB42" s="86">
        <v>0.0</v>
      </c>
      <c r="AC42" s="85">
        <f t="shared" si="11"/>
        <v>6215.5416</v>
      </c>
      <c r="AD42" s="86">
        <f t="shared" ref="AD42:AE42" si="198">AA42*0.95</f>
        <v>5904.76452</v>
      </c>
      <c r="AE42" s="86">
        <f t="shared" si="198"/>
        <v>0</v>
      </c>
      <c r="AF42" s="85">
        <f t="shared" si="13"/>
        <v>5904.76452</v>
      </c>
      <c r="AG42" s="86">
        <v>223.0</v>
      </c>
      <c r="AH42" s="86">
        <v>0.0</v>
      </c>
      <c r="AI42" s="85">
        <f t="shared" si="14"/>
        <v>223</v>
      </c>
      <c r="AJ42" s="86">
        <f t="shared" ref="AJ42:AK42" si="199">AG42/1.05506</f>
        <v>211.362387</v>
      </c>
      <c r="AK42" s="86">
        <f t="shared" si="199"/>
        <v>0</v>
      </c>
      <c r="AL42" s="85">
        <f t="shared" si="16"/>
        <v>211.362387</v>
      </c>
    </row>
    <row r="43" ht="15.0" customHeight="1">
      <c r="B43" s="76" t="s">
        <v>49</v>
      </c>
      <c r="C43" s="77">
        <f t="shared" ref="C43:D43" si="200">SUM(C11:C42)</f>
        <v>0</v>
      </c>
      <c r="D43" s="77">
        <f t="shared" si="200"/>
        <v>0</v>
      </c>
      <c r="E43" s="77"/>
      <c r="F43" s="88">
        <f t="shared" ref="F43:AI43" si="201">SUM(F12:F42)</f>
        <v>29279</v>
      </c>
      <c r="G43" s="88">
        <f t="shared" si="201"/>
        <v>0</v>
      </c>
      <c r="H43" s="88">
        <f t="shared" si="201"/>
        <v>29279</v>
      </c>
      <c r="I43" s="88">
        <f t="shared" si="201"/>
        <v>1024765</v>
      </c>
      <c r="J43" s="88">
        <f t="shared" si="201"/>
        <v>0</v>
      </c>
      <c r="K43" s="88">
        <f t="shared" si="201"/>
        <v>1024765</v>
      </c>
      <c r="L43" s="88">
        <f t="shared" si="201"/>
        <v>758860</v>
      </c>
      <c r="M43" s="88">
        <f t="shared" si="201"/>
        <v>0</v>
      </c>
      <c r="N43" s="88">
        <f t="shared" si="201"/>
        <v>758860</v>
      </c>
      <c r="O43" s="88">
        <f t="shared" si="201"/>
        <v>107080.9353</v>
      </c>
      <c r="P43" s="88">
        <f t="shared" si="201"/>
        <v>0</v>
      </c>
      <c r="Q43" s="88">
        <f t="shared" si="201"/>
        <v>107080.9353</v>
      </c>
      <c r="R43" s="88">
        <f t="shared" si="201"/>
        <v>651779.0647</v>
      </c>
      <c r="S43" s="88">
        <f t="shared" si="201"/>
        <v>0</v>
      </c>
      <c r="T43" s="88">
        <f t="shared" si="201"/>
        <v>651779.0647</v>
      </c>
      <c r="U43" s="77">
        <f t="shared" si="201"/>
        <v>358478.4856</v>
      </c>
      <c r="V43" s="77">
        <f t="shared" si="201"/>
        <v>0</v>
      </c>
      <c r="W43" s="77">
        <f t="shared" si="201"/>
        <v>346425.7658</v>
      </c>
      <c r="X43" s="88">
        <f t="shared" si="201"/>
        <v>377345.7743</v>
      </c>
      <c r="Y43" s="88">
        <f t="shared" si="201"/>
        <v>0</v>
      </c>
      <c r="Z43" s="88">
        <f t="shared" si="201"/>
        <v>377345.7743</v>
      </c>
      <c r="AA43" s="88">
        <f t="shared" si="201"/>
        <v>163819.3601</v>
      </c>
      <c r="AB43" s="88">
        <f t="shared" si="201"/>
        <v>0</v>
      </c>
      <c r="AC43" s="88">
        <f t="shared" si="201"/>
        <v>163819.3601</v>
      </c>
      <c r="AD43" s="88">
        <f t="shared" si="201"/>
        <v>155628.3921</v>
      </c>
      <c r="AE43" s="88">
        <f t="shared" si="201"/>
        <v>0</v>
      </c>
      <c r="AF43" s="88">
        <f t="shared" si="201"/>
        <v>155628.3921</v>
      </c>
      <c r="AG43" s="88">
        <f t="shared" si="201"/>
        <v>5880</v>
      </c>
      <c r="AH43" s="88">
        <f t="shared" si="201"/>
        <v>0</v>
      </c>
      <c r="AI43" s="88">
        <f t="shared" si="201"/>
        <v>5880</v>
      </c>
      <c r="AJ43" s="78">
        <v>5573.0</v>
      </c>
      <c r="AK43" s="88">
        <f t="shared" ref="AK43:AL43" si="202">SUM(AK12:AK42)</f>
        <v>0</v>
      </c>
      <c r="AL43" s="88">
        <f t="shared" si="202"/>
        <v>5573.14276</v>
      </c>
      <c r="AN43" s="75">
        <f>AF43/Z43*100</f>
        <v>41.24291371</v>
      </c>
      <c r="AO43" s="83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</row>
    <row r="46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</row>
    <row r="5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</row>
    <row r="54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</row>
    <row r="60" ht="14.25" customHeight="1">
      <c r="B60" s="53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</row>
    <row r="61" ht="14.25" customHeight="1">
      <c r="B61" s="53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</row>
    <row r="62" ht="14.25" customHeight="1">
      <c r="B62" s="53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  <c r="AJ1002" s="56"/>
      <c r="AK1002" s="56"/>
      <c r="AL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  <c r="AJ1003" s="56"/>
      <c r="AK1003" s="56"/>
      <c r="AL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  <c r="AJ1004" s="56"/>
      <c r="AK1004" s="56"/>
      <c r="AL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  <c r="AJ1012" s="56"/>
      <c r="AK1012" s="56"/>
      <c r="AL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  <c r="AJ1013" s="56"/>
      <c r="AK1013" s="56"/>
      <c r="AL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  <c r="AJ1014" s="56"/>
      <c r="AK1014" s="56"/>
      <c r="AL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  <c r="AJ1017" s="56"/>
      <c r="AK1017" s="56"/>
      <c r="AL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  <c r="AJ1018" s="56"/>
      <c r="AK1018" s="56"/>
      <c r="AL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</row>
    <row r="1028" ht="14.25" customHeight="1"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</row>
  </sheetData>
  <mergeCells count="14">
    <mergeCell ref="U5:W9"/>
    <mergeCell ref="X5:Z9"/>
    <mergeCell ref="AA5:AC9"/>
    <mergeCell ref="AD5:AF9"/>
    <mergeCell ref="AG5:AI9"/>
    <mergeCell ref="AJ5:AL9"/>
    <mergeCell ref="AM5:AM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5" width="12.0"/>
    <col customWidth="1" min="37" max="37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 t="s">
        <v>39</v>
      </c>
      <c r="AH2" s="57"/>
      <c r="AI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 t="s">
        <v>40</v>
      </c>
      <c r="AH3" s="57"/>
      <c r="AI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10</v>
      </c>
      <c r="V5" s="6"/>
      <c r="W5" s="7"/>
      <c r="X5" s="60" t="s">
        <v>46</v>
      </c>
      <c r="Y5" s="6"/>
      <c r="Z5" s="7"/>
      <c r="AA5" s="60" t="s">
        <v>11</v>
      </c>
      <c r="AB5" s="6"/>
      <c r="AC5" s="7"/>
      <c r="AD5" s="60" t="s">
        <v>47</v>
      </c>
      <c r="AE5" s="6"/>
      <c r="AF5" s="7"/>
      <c r="AG5" s="60" t="s">
        <v>12</v>
      </c>
      <c r="AH5" s="6"/>
      <c r="AI5" s="7"/>
      <c r="AJ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</row>
    <row r="11" ht="15.0" customHeight="1">
      <c r="B11" s="66">
        <v>45808.0</v>
      </c>
      <c r="C11" s="67">
        <f>'May25'!C43</f>
        <v>0</v>
      </c>
      <c r="D11" s="67">
        <f>'May25'!D43</f>
        <v>0</v>
      </c>
      <c r="E11" s="68">
        <f t="shared" ref="E11:E41" si="1">SUM(C11+D11)</f>
        <v>0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1" si="3">SUM(L11+M11)</f>
        <v>0</v>
      </c>
      <c r="O11" s="68"/>
      <c r="P11" s="68"/>
      <c r="Q11" s="68">
        <f t="shared" ref="Q11:Q41" si="4">SUM(O11+P11)</f>
        <v>0</v>
      </c>
      <c r="R11" s="68"/>
      <c r="S11" s="68"/>
      <c r="T11" s="68">
        <f t="shared" ref="T11:T41" si="6">SUM(R11+S11)</f>
        <v>0</v>
      </c>
      <c r="U11" s="68"/>
      <c r="V11" s="68"/>
      <c r="W11" s="68">
        <f t="shared" ref="W11:W41" si="8">SUM(U11+V11)</f>
        <v>0</v>
      </c>
      <c r="X11" s="68"/>
      <c r="Y11" s="68"/>
      <c r="Z11" s="68">
        <f t="shared" ref="Z11:Z41" si="9">SUM(X11+Y11)</f>
        <v>0</v>
      </c>
      <c r="AA11" s="68"/>
      <c r="AB11" s="68"/>
      <c r="AC11" s="68">
        <f t="shared" ref="AC11:AC41" si="11">SUM(AA11+AB11)</f>
        <v>0</v>
      </c>
      <c r="AD11" s="68"/>
      <c r="AE11" s="68"/>
      <c r="AF11" s="68">
        <f t="shared" ref="AF11:AF41" si="12">SUM(AD11+AE11)</f>
        <v>0</v>
      </c>
      <c r="AG11" s="68"/>
      <c r="AH11" s="68"/>
      <c r="AI11" s="68">
        <f t="shared" ref="AI11:AI41" si="14">SUM(AG11+AH11)</f>
        <v>0</v>
      </c>
    </row>
    <row r="12" ht="18.0" customHeight="1">
      <c r="B12" s="66">
        <v>45809.0</v>
      </c>
      <c r="C12" s="70"/>
      <c r="D12" s="70"/>
      <c r="E12" s="68">
        <f t="shared" si="1"/>
        <v>0</v>
      </c>
      <c r="F12" s="71">
        <v>0.0</v>
      </c>
      <c r="G12" s="72">
        <v>0.0</v>
      </c>
      <c r="H12" s="68">
        <f t="shared" ref="H12:H41" si="15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41" si="17">J12+I12</f>
        <v>0</v>
      </c>
      <c r="L12" s="71">
        <v>0.0</v>
      </c>
      <c r="M12" s="71">
        <v>0.0</v>
      </c>
      <c r="N12" s="68">
        <f t="shared" si="3"/>
        <v>0</v>
      </c>
      <c r="O12" s="71">
        <v>0.0</v>
      </c>
      <c r="P12" s="71">
        <v>0.0</v>
      </c>
      <c r="Q12" s="68">
        <f t="shared" si="4"/>
        <v>0</v>
      </c>
      <c r="R12" s="71">
        <f t="shared" ref="R12:S12" si="5">L12-O12</f>
        <v>0</v>
      </c>
      <c r="S12" s="71">
        <f t="shared" si="5"/>
        <v>0</v>
      </c>
      <c r="T12" s="68">
        <f t="shared" si="6"/>
        <v>0</v>
      </c>
      <c r="U12" s="71">
        <f t="shared" ref="U12:V12" si="7">R12*0.55</f>
        <v>0</v>
      </c>
      <c r="V12" s="71">
        <f t="shared" si="7"/>
        <v>0</v>
      </c>
      <c r="W12" s="68">
        <f t="shared" si="8"/>
        <v>0</v>
      </c>
      <c r="X12" s="71">
        <v>0.0</v>
      </c>
      <c r="Y12" s="71">
        <v>0.0</v>
      </c>
      <c r="Z12" s="68">
        <f t="shared" si="9"/>
        <v>0</v>
      </c>
      <c r="AA12" s="71">
        <f t="shared" ref="AA12:AB12" si="10">X12*0.95</f>
        <v>0</v>
      </c>
      <c r="AB12" s="71">
        <f t="shared" si="10"/>
        <v>0</v>
      </c>
      <c r="AC12" s="68">
        <f t="shared" si="11"/>
        <v>0</v>
      </c>
      <c r="AD12" s="71">
        <v>0.0</v>
      </c>
      <c r="AE12" s="71">
        <v>0.0</v>
      </c>
      <c r="AF12" s="68">
        <f t="shared" si="12"/>
        <v>0</v>
      </c>
      <c r="AG12" s="71">
        <f t="shared" ref="AG12:AH12" si="13">AD12/1.05506</f>
        <v>0</v>
      </c>
      <c r="AH12" s="71">
        <f t="shared" si="13"/>
        <v>0</v>
      </c>
      <c r="AI12" s="68">
        <f t="shared" si="14"/>
        <v>0</v>
      </c>
    </row>
    <row r="13" ht="14.25" customHeight="1">
      <c r="B13" s="66">
        <v>45810.0</v>
      </c>
      <c r="C13" s="70"/>
      <c r="D13" s="70"/>
      <c r="E13" s="68">
        <f t="shared" si="1"/>
        <v>0</v>
      </c>
      <c r="F13" s="71">
        <v>0.0</v>
      </c>
      <c r="G13" s="72">
        <v>0.0</v>
      </c>
      <c r="H13" s="68">
        <f t="shared" si="15"/>
        <v>0</v>
      </c>
      <c r="I13" s="73">
        <f t="shared" ref="I13:J13" si="16">F13*55000*0.35/1000/0.55</f>
        <v>0</v>
      </c>
      <c r="J13" s="73">
        <f t="shared" si="16"/>
        <v>0</v>
      </c>
      <c r="K13" s="68">
        <f t="shared" si="17"/>
        <v>0</v>
      </c>
      <c r="L13" s="71">
        <v>0.0</v>
      </c>
      <c r="M13" s="71">
        <v>0.0</v>
      </c>
      <c r="N13" s="68">
        <f t="shared" si="3"/>
        <v>0</v>
      </c>
      <c r="O13" s="71">
        <v>0.0</v>
      </c>
      <c r="P13" s="71">
        <v>0.0</v>
      </c>
      <c r="Q13" s="68">
        <f t="shared" si="4"/>
        <v>0</v>
      </c>
      <c r="R13" s="71">
        <f t="shared" ref="R13:S13" si="18">L13-O13</f>
        <v>0</v>
      </c>
      <c r="S13" s="71">
        <f t="shared" si="18"/>
        <v>0</v>
      </c>
      <c r="T13" s="68">
        <f t="shared" si="6"/>
        <v>0</v>
      </c>
      <c r="U13" s="71">
        <f t="shared" ref="U13:V13" si="19">R13*0.55</f>
        <v>0</v>
      </c>
      <c r="V13" s="71">
        <f t="shared" si="19"/>
        <v>0</v>
      </c>
      <c r="W13" s="68">
        <f t="shared" si="8"/>
        <v>0</v>
      </c>
      <c r="X13" s="71">
        <v>0.0</v>
      </c>
      <c r="Y13" s="71">
        <v>0.0</v>
      </c>
      <c r="Z13" s="68">
        <f t="shared" si="9"/>
        <v>0</v>
      </c>
      <c r="AA13" s="71">
        <f t="shared" ref="AA13:AB13" si="20">X13*0.95</f>
        <v>0</v>
      </c>
      <c r="AB13" s="71">
        <f t="shared" si="20"/>
        <v>0</v>
      </c>
      <c r="AC13" s="68">
        <f t="shared" si="11"/>
        <v>0</v>
      </c>
      <c r="AD13" s="71">
        <v>0.0</v>
      </c>
      <c r="AE13" s="71">
        <v>0.0</v>
      </c>
      <c r="AF13" s="68">
        <f t="shared" si="12"/>
        <v>0</v>
      </c>
      <c r="AG13" s="71">
        <f t="shared" ref="AG13:AH13" si="21">AD13/1.05506</f>
        <v>0</v>
      </c>
      <c r="AH13" s="71">
        <f t="shared" si="21"/>
        <v>0</v>
      </c>
      <c r="AI13" s="68">
        <f t="shared" si="14"/>
        <v>0</v>
      </c>
    </row>
    <row r="14" ht="14.25" customHeight="1">
      <c r="B14" s="66">
        <v>45811.0</v>
      </c>
      <c r="C14" s="70"/>
      <c r="D14" s="70"/>
      <c r="E14" s="68">
        <f t="shared" si="1"/>
        <v>0</v>
      </c>
      <c r="F14" s="71">
        <v>0.0</v>
      </c>
      <c r="G14" s="72">
        <v>0.0</v>
      </c>
      <c r="H14" s="68">
        <f t="shared" si="15"/>
        <v>0</v>
      </c>
      <c r="I14" s="73">
        <f t="shared" ref="I14:J14" si="22">F14*55000*0.35/1000/0.55</f>
        <v>0</v>
      </c>
      <c r="J14" s="73">
        <f t="shared" si="22"/>
        <v>0</v>
      </c>
      <c r="K14" s="68">
        <f t="shared" si="17"/>
        <v>0</v>
      </c>
      <c r="L14" s="71">
        <v>0.0</v>
      </c>
      <c r="M14" s="71">
        <v>0.0</v>
      </c>
      <c r="N14" s="68">
        <f t="shared" si="3"/>
        <v>0</v>
      </c>
      <c r="O14" s="71">
        <v>0.0</v>
      </c>
      <c r="P14" s="71">
        <v>0.0</v>
      </c>
      <c r="Q14" s="68">
        <f t="shared" si="4"/>
        <v>0</v>
      </c>
      <c r="R14" s="71">
        <f t="shared" ref="R14:S14" si="23">L14-O14</f>
        <v>0</v>
      </c>
      <c r="S14" s="71">
        <f t="shared" si="23"/>
        <v>0</v>
      </c>
      <c r="T14" s="68">
        <f t="shared" si="6"/>
        <v>0</v>
      </c>
      <c r="U14" s="71">
        <f t="shared" ref="U14:V14" si="24">R14*0.55</f>
        <v>0</v>
      </c>
      <c r="V14" s="71">
        <f t="shared" si="24"/>
        <v>0</v>
      </c>
      <c r="W14" s="68">
        <f t="shared" si="8"/>
        <v>0</v>
      </c>
      <c r="X14" s="71">
        <v>0.0</v>
      </c>
      <c r="Y14" s="71">
        <v>0.0</v>
      </c>
      <c r="Z14" s="68">
        <f t="shared" si="9"/>
        <v>0</v>
      </c>
      <c r="AA14" s="71">
        <f t="shared" ref="AA14:AB14" si="25">X14*0.95</f>
        <v>0</v>
      </c>
      <c r="AB14" s="71">
        <f t="shared" si="25"/>
        <v>0</v>
      </c>
      <c r="AC14" s="68">
        <f t="shared" si="11"/>
        <v>0</v>
      </c>
      <c r="AD14" s="71">
        <v>0.0</v>
      </c>
      <c r="AE14" s="71">
        <v>0.0</v>
      </c>
      <c r="AF14" s="68">
        <f t="shared" si="12"/>
        <v>0</v>
      </c>
      <c r="AG14" s="71">
        <f t="shared" ref="AG14:AH14" si="26">AD14/1.05506</f>
        <v>0</v>
      </c>
      <c r="AH14" s="71">
        <f t="shared" si="26"/>
        <v>0</v>
      </c>
      <c r="AI14" s="68">
        <f t="shared" si="14"/>
        <v>0</v>
      </c>
    </row>
    <row r="15" ht="14.25" customHeight="1">
      <c r="B15" s="66">
        <v>45812.0</v>
      </c>
      <c r="C15" s="70"/>
      <c r="D15" s="70"/>
      <c r="E15" s="68">
        <f t="shared" si="1"/>
        <v>0</v>
      </c>
      <c r="F15" s="71">
        <v>0.0</v>
      </c>
      <c r="G15" s="72">
        <v>0.0</v>
      </c>
      <c r="H15" s="68">
        <f t="shared" si="15"/>
        <v>0</v>
      </c>
      <c r="I15" s="73">
        <f t="shared" ref="I15:J15" si="27">F15*55000*0.35/1000/0.55</f>
        <v>0</v>
      </c>
      <c r="J15" s="73">
        <f t="shared" si="27"/>
        <v>0</v>
      </c>
      <c r="K15" s="68">
        <f t="shared" si="17"/>
        <v>0</v>
      </c>
      <c r="L15" s="71">
        <v>0.0</v>
      </c>
      <c r="M15" s="71">
        <v>0.0</v>
      </c>
      <c r="N15" s="68">
        <f t="shared" si="3"/>
        <v>0</v>
      </c>
      <c r="O15" s="71">
        <v>0.0</v>
      </c>
      <c r="P15" s="71">
        <v>0.0</v>
      </c>
      <c r="Q15" s="68">
        <f t="shared" si="4"/>
        <v>0</v>
      </c>
      <c r="R15" s="71">
        <f t="shared" ref="R15:S15" si="28">L15-O15</f>
        <v>0</v>
      </c>
      <c r="S15" s="71">
        <f t="shared" si="28"/>
        <v>0</v>
      </c>
      <c r="T15" s="68">
        <f t="shared" si="6"/>
        <v>0</v>
      </c>
      <c r="U15" s="71">
        <f t="shared" ref="U15:V15" si="29">R15*0.55</f>
        <v>0</v>
      </c>
      <c r="V15" s="71">
        <f t="shared" si="29"/>
        <v>0</v>
      </c>
      <c r="W15" s="68">
        <f t="shared" si="8"/>
        <v>0</v>
      </c>
      <c r="X15" s="71">
        <v>0.0</v>
      </c>
      <c r="Y15" s="71">
        <v>0.0</v>
      </c>
      <c r="Z15" s="68">
        <f t="shared" si="9"/>
        <v>0</v>
      </c>
      <c r="AA15" s="71">
        <f t="shared" ref="AA15:AB15" si="30">X15*0.95</f>
        <v>0</v>
      </c>
      <c r="AB15" s="71">
        <f t="shared" si="30"/>
        <v>0</v>
      </c>
      <c r="AC15" s="68">
        <f t="shared" si="11"/>
        <v>0</v>
      </c>
      <c r="AD15" s="71">
        <v>0.0</v>
      </c>
      <c r="AE15" s="71">
        <v>0.0</v>
      </c>
      <c r="AF15" s="68">
        <f t="shared" si="12"/>
        <v>0</v>
      </c>
      <c r="AG15" s="71">
        <f t="shared" ref="AG15:AH15" si="31">AD15/1.05506</f>
        <v>0</v>
      </c>
      <c r="AH15" s="71">
        <f t="shared" si="31"/>
        <v>0</v>
      </c>
      <c r="AI15" s="68">
        <f t="shared" si="14"/>
        <v>0</v>
      </c>
    </row>
    <row r="16" ht="14.25" customHeight="1">
      <c r="B16" s="66">
        <v>45813.0</v>
      </c>
      <c r="C16" s="70"/>
      <c r="D16" s="70"/>
      <c r="E16" s="68">
        <f t="shared" si="1"/>
        <v>0</v>
      </c>
      <c r="F16" s="71">
        <v>0.0</v>
      </c>
      <c r="G16" s="72">
        <v>0.0</v>
      </c>
      <c r="H16" s="68">
        <f t="shared" si="15"/>
        <v>0</v>
      </c>
      <c r="I16" s="73">
        <f t="shared" ref="I16:J16" si="32">F16*55000*0.35/1000/0.55</f>
        <v>0</v>
      </c>
      <c r="J16" s="73">
        <f t="shared" si="32"/>
        <v>0</v>
      </c>
      <c r="K16" s="68">
        <f t="shared" si="17"/>
        <v>0</v>
      </c>
      <c r="L16" s="71">
        <v>0.0</v>
      </c>
      <c r="M16" s="71">
        <v>0.0</v>
      </c>
      <c r="N16" s="68">
        <f t="shared" si="3"/>
        <v>0</v>
      </c>
      <c r="O16" s="71">
        <v>0.0</v>
      </c>
      <c r="P16" s="71">
        <v>0.0</v>
      </c>
      <c r="Q16" s="68">
        <f t="shared" si="4"/>
        <v>0</v>
      </c>
      <c r="R16" s="71">
        <f t="shared" ref="R16:S16" si="33">L16-O16</f>
        <v>0</v>
      </c>
      <c r="S16" s="71">
        <f t="shared" si="33"/>
        <v>0</v>
      </c>
      <c r="T16" s="68">
        <f t="shared" si="6"/>
        <v>0</v>
      </c>
      <c r="U16" s="71">
        <f t="shared" ref="U16:V16" si="34">R16*0.55</f>
        <v>0</v>
      </c>
      <c r="V16" s="71">
        <f t="shared" si="34"/>
        <v>0</v>
      </c>
      <c r="W16" s="68">
        <f t="shared" si="8"/>
        <v>0</v>
      </c>
      <c r="X16" s="71">
        <v>0.0</v>
      </c>
      <c r="Y16" s="71">
        <v>0.0</v>
      </c>
      <c r="Z16" s="68">
        <f t="shared" si="9"/>
        <v>0</v>
      </c>
      <c r="AA16" s="71">
        <f t="shared" ref="AA16:AB16" si="35">X16*0.95</f>
        <v>0</v>
      </c>
      <c r="AB16" s="71">
        <f t="shared" si="35"/>
        <v>0</v>
      </c>
      <c r="AC16" s="68">
        <f t="shared" si="11"/>
        <v>0</v>
      </c>
      <c r="AD16" s="71">
        <v>0.0</v>
      </c>
      <c r="AE16" s="71">
        <v>0.0</v>
      </c>
      <c r="AF16" s="68">
        <f t="shared" si="12"/>
        <v>0</v>
      </c>
      <c r="AG16" s="71">
        <f t="shared" ref="AG16:AH16" si="36">AD16/1.05506</f>
        <v>0</v>
      </c>
      <c r="AH16" s="71">
        <f t="shared" si="36"/>
        <v>0</v>
      </c>
      <c r="AI16" s="68">
        <f t="shared" si="14"/>
        <v>0</v>
      </c>
    </row>
    <row r="17" ht="14.25" customHeight="1">
      <c r="B17" s="66">
        <v>45814.0</v>
      </c>
      <c r="C17" s="70"/>
      <c r="D17" s="70"/>
      <c r="E17" s="68">
        <f t="shared" si="1"/>
        <v>0</v>
      </c>
      <c r="F17" s="71">
        <v>0.0</v>
      </c>
      <c r="G17" s="72">
        <v>0.0</v>
      </c>
      <c r="H17" s="68">
        <f t="shared" si="15"/>
        <v>0</v>
      </c>
      <c r="I17" s="73">
        <f t="shared" ref="I17:J17" si="37">F17*55000*0.35/1000/0.55</f>
        <v>0</v>
      </c>
      <c r="J17" s="73">
        <f t="shared" si="37"/>
        <v>0</v>
      </c>
      <c r="K17" s="68">
        <f t="shared" si="17"/>
        <v>0</v>
      </c>
      <c r="L17" s="71">
        <v>0.0</v>
      </c>
      <c r="M17" s="71">
        <v>0.0</v>
      </c>
      <c r="N17" s="68">
        <f t="shared" si="3"/>
        <v>0</v>
      </c>
      <c r="O17" s="71">
        <v>0.0</v>
      </c>
      <c r="P17" s="71">
        <v>0.0</v>
      </c>
      <c r="Q17" s="68">
        <f t="shared" si="4"/>
        <v>0</v>
      </c>
      <c r="R17" s="71">
        <f t="shared" ref="R17:S17" si="38">L17-O17</f>
        <v>0</v>
      </c>
      <c r="S17" s="71">
        <f t="shared" si="38"/>
        <v>0</v>
      </c>
      <c r="T17" s="68">
        <f t="shared" si="6"/>
        <v>0</v>
      </c>
      <c r="U17" s="71">
        <f t="shared" ref="U17:V17" si="39">R17*0.55</f>
        <v>0</v>
      </c>
      <c r="V17" s="71">
        <f t="shared" si="39"/>
        <v>0</v>
      </c>
      <c r="W17" s="68">
        <f t="shared" si="8"/>
        <v>0</v>
      </c>
      <c r="X17" s="71">
        <v>0.0</v>
      </c>
      <c r="Y17" s="71">
        <v>0.0</v>
      </c>
      <c r="Z17" s="68">
        <f t="shared" si="9"/>
        <v>0</v>
      </c>
      <c r="AA17" s="71">
        <f t="shared" ref="AA17:AB17" si="40">X17*0.95</f>
        <v>0</v>
      </c>
      <c r="AB17" s="71">
        <f t="shared" si="40"/>
        <v>0</v>
      </c>
      <c r="AC17" s="68">
        <f t="shared" si="11"/>
        <v>0</v>
      </c>
      <c r="AD17" s="71">
        <v>0.0</v>
      </c>
      <c r="AE17" s="71">
        <v>0.0</v>
      </c>
      <c r="AF17" s="68">
        <f t="shared" si="12"/>
        <v>0</v>
      </c>
      <c r="AG17" s="71">
        <f t="shared" ref="AG17:AH17" si="41">AD17/1.05506</f>
        <v>0</v>
      </c>
      <c r="AH17" s="71">
        <f t="shared" si="41"/>
        <v>0</v>
      </c>
      <c r="AI17" s="68">
        <f t="shared" si="14"/>
        <v>0</v>
      </c>
    </row>
    <row r="18" ht="14.25" customHeight="1">
      <c r="B18" s="66">
        <v>45815.0</v>
      </c>
      <c r="C18" s="70"/>
      <c r="D18" s="70"/>
      <c r="E18" s="68">
        <f t="shared" si="1"/>
        <v>0</v>
      </c>
      <c r="F18" s="71">
        <v>0.0</v>
      </c>
      <c r="G18" s="72">
        <v>0.0</v>
      </c>
      <c r="H18" s="68">
        <f t="shared" si="15"/>
        <v>0</v>
      </c>
      <c r="I18" s="73">
        <f t="shared" ref="I18:J18" si="42">F18*55000*0.35/1000/0.55</f>
        <v>0</v>
      </c>
      <c r="J18" s="73">
        <f t="shared" si="42"/>
        <v>0</v>
      </c>
      <c r="K18" s="68">
        <f t="shared" si="17"/>
        <v>0</v>
      </c>
      <c r="L18" s="71">
        <v>0.0</v>
      </c>
      <c r="M18" s="71">
        <v>0.0</v>
      </c>
      <c r="N18" s="68">
        <f t="shared" si="3"/>
        <v>0</v>
      </c>
      <c r="O18" s="71">
        <v>0.0</v>
      </c>
      <c r="P18" s="71">
        <v>0.0</v>
      </c>
      <c r="Q18" s="68">
        <f t="shared" si="4"/>
        <v>0</v>
      </c>
      <c r="R18" s="71">
        <f t="shared" ref="R18:S18" si="43">L18-O18</f>
        <v>0</v>
      </c>
      <c r="S18" s="71">
        <f t="shared" si="43"/>
        <v>0</v>
      </c>
      <c r="T18" s="68">
        <f t="shared" si="6"/>
        <v>0</v>
      </c>
      <c r="U18" s="71">
        <f t="shared" ref="U18:V18" si="44">R18*0.55</f>
        <v>0</v>
      </c>
      <c r="V18" s="71">
        <f t="shared" si="44"/>
        <v>0</v>
      </c>
      <c r="W18" s="68">
        <f t="shared" si="8"/>
        <v>0</v>
      </c>
      <c r="X18" s="71">
        <v>0.0</v>
      </c>
      <c r="Y18" s="71">
        <v>0.0</v>
      </c>
      <c r="Z18" s="68">
        <f t="shared" si="9"/>
        <v>0</v>
      </c>
      <c r="AA18" s="71">
        <f t="shared" ref="AA18:AB18" si="45">X18*0.95</f>
        <v>0</v>
      </c>
      <c r="AB18" s="71">
        <f t="shared" si="45"/>
        <v>0</v>
      </c>
      <c r="AC18" s="68">
        <f t="shared" si="11"/>
        <v>0</v>
      </c>
      <c r="AD18" s="71">
        <v>0.0</v>
      </c>
      <c r="AE18" s="71">
        <v>0.0</v>
      </c>
      <c r="AF18" s="68">
        <f t="shared" si="12"/>
        <v>0</v>
      </c>
      <c r="AG18" s="71">
        <f t="shared" ref="AG18:AH18" si="46">AD18/1.05506</f>
        <v>0</v>
      </c>
      <c r="AH18" s="71">
        <f t="shared" si="46"/>
        <v>0</v>
      </c>
      <c r="AI18" s="68">
        <f t="shared" si="14"/>
        <v>0</v>
      </c>
    </row>
    <row r="19" ht="14.25" customHeight="1">
      <c r="B19" s="66">
        <v>45816.0</v>
      </c>
      <c r="C19" s="70"/>
      <c r="D19" s="70"/>
      <c r="E19" s="68">
        <f t="shared" si="1"/>
        <v>0</v>
      </c>
      <c r="F19" s="71">
        <v>0.0</v>
      </c>
      <c r="G19" s="72">
        <v>0.0</v>
      </c>
      <c r="H19" s="68">
        <f t="shared" si="15"/>
        <v>0</v>
      </c>
      <c r="I19" s="73">
        <f t="shared" ref="I19:J19" si="47">F19*55000*0.35/1000/0.55</f>
        <v>0</v>
      </c>
      <c r="J19" s="73">
        <f t="shared" si="47"/>
        <v>0</v>
      </c>
      <c r="K19" s="68">
        <f t="shared" si="17"/>
        <v>0</v>
      </c>
      <c r="L19" s="71">
        <v>0.0</v>
      </c>
      <c r="M19" s="71">
        <v>0.0</v>
      </c>
      <c r="N19" s="68">
        <f t="shared" si="3"/>
        <v>0</v>
      </c>
      <c r="O19" s="71">
        <v>0.0</v>
      </c>
      <c r="P19" s="71">
        <v>0.0</v>
      </c>
      <c r="Q19" s="68">
        <f t="shared" si="4"/>
        <v>0</v>
      </c>
      <c r="R19" s="71">
        <f t="shared" ref="R19:S19" si="48">L19-O19</f>
        <v>0</v>
      </c>
      <c r="S19" s="71">
        <f t="shared" si="48"/>
        <v>0</v>
      </c>
      <c r="T19" s="68">
        <f t="shared" si="6"/>
        <v>0</v>
      </c>
      <c r="U19" s="71">
        <f t="shared" ref="U19:V19" si="49">R19*0.55</f>
        <v>0</v>
      </c>
      <c r="V19" s="71">
        <f t="shared" si="49"/>
        <v>0</v>
      </c>
      <c r="W19" s="68">
        <f t="shared" si="8"/>
        <v>0</v>
      </c>
      <c r="X19" s="71">
        <v>0.0</v>
      </c>
      <c r="Y19" s="71">
        <v>0.0</v>
      </c>
      <c r="Z19" s="68">
        <f t="shared" si="9"/>
        <v>0</v>
      </c>
      <c r="AA19" s="71">
        <f t="shared" ref="AA19:AB19" si="50">X19*0.95</f>
        <v>0</v>
      </c>
      <c r="AB19" s="71">
        <f t="shared" si="50"/>
        <v>0</v>
      </c>
      <c r="AC19" s="68">
        <f t="shared" si="11"/>
        <v>0</v>
      </c>
      <c r="AD19" s="71">
        <v>0.0</v>
      </c>
      <c r="AE19" s="71">
        <v>0.0</v>
      </c>
      <c r="AF19" s="68">
        <f t="shared" si="12"/>
        <v>0</v>
      </c>
      <c r="AG19" s="71">
        <f t="shared" ref="AG19:AH19" si="51">AD19/1.05506</f>
        <v>0</v>
      </c>
      <c r="AH19" s="71">
        <f t="shared" si="51"/>
        <v>0</v>
      </c>
      <c r="AI19" s="68">
        <f t="shared" si="14"/>
        <v>0</v>
      </c>
    </row>
    <row r="20" ht="14.25" customHeight="1">
      <c r="B20" s="66">
        <v>45817.0</v>
      </c>
      <c r="C20" s="70"/>
      <c r="D20" s="70"/>
      <c r="E20" s="68">
        <f t="shared" si="1"/>
        <v>0</v>
      </c>
      <c r="F20" s="71">
        <v>0.0</v>
      </c>
      <c r="G20" s="72">
        <v>0.0</v>
      </c>
      <c r="H20" s="68">
        <f t="shared" si="15"/>
        <v>0</v>
      </c>
      <c r="I20" s="73">
        <f t="shared" ref="I20:J20" si="52">F20*55000*0.35/1000/0.55</f>
        <v>0</v>
      </c>
      <c r="J20" s="73">
        <f t="shared" si="52"/>
        <v>0</v>
      </c>
      <c r="K20" s="68">
        <f t="shared" si="17"/>
        <v>0</v>
      </c>
      <c r="L20" s="71">
        <v>0.0</v>
      </c>
      <c r="M20" s="71">
        <v>0.0</v>
      </c>
      <c r="N20" s="68">
        <f t="shared" si="3"/>
        <v>0</v>
      </c>
      <c r="O20" s="71">
        <v>0.0</v>
      </c>
      <c r="P20" s="71">
        <v>0.0</v>
      </c>
      <c r="Q20" s="68">
        <f t="shared" si="4"/>
        <v>0</v>
      </c>
      <c r="R20" s="71">
        <f t="shared" ref="R20:S20" si="53">L20-O20</f>
        <v>0</v>
      </c>
      <c r="S20" s="71">
        <f t="shared" si="53"/>
        <v>0</v>
      </c>
      <c r="T20" s="68">
        <f t="shared" si="6"/>
        <v>0</v>
      </c>
      <c r="U20" s="71">
        <f t="shared" ref="U20:V20" si="54">R20*0.55</f>
        <v>0</v>
      </c>
      <c r="V20" s="71">
        <f t="shared" si="54"/>
        <v>0</v>
      </c>
      <c r="W20" s="68">
        <f t="shared" si="8"/>
        <v>0</v>
      </c>
      <c r="X20" s="71">
        <v>0.0</v>
      </c>
      <c r="Y20" s="71">
        <v>0.0</v>
      </c>
      <c r="Z20" s="68">
        <f t="shared" si="9"/>
        <v>0</v>
      </c>
      <c r="AA20" s="71">
        <f t="shared" ref="AA20:AB20" si="55">X20*0.95</f>
        <v>0</v>
      </c>
      <c r="AB20" s="71">
        <f t="shared" si="55"/>
        <v>0</v>
      </c>
      <c r="AC20" s="68">
        <f t="shared" si="11"/>
        <v>0</v>
      </c>
      <c r="AD20" s="71">
        <v>0.0</v>
      </c>
      <c r="AE20" s="71">
        <v>0.0</v>
      </c>
      <c r="AF20" s="68">
        <f t="shared" si="12"/>
        <v>0</v>
      </c>
      <c r="AG20" s="71">
        <f t="shared" ref="AG20:AH20" si="56">AD20/1.05506</f>
        <v>0</v>
      </c>
      <c r="AH20" s="71">
        <f t="shared" si="56"/>
        <v>0</v>
      </c>
      <c r="AI20" s="68">
        <f t="shared" si="14"/>
        <v>0</v>
      </c>
    </row>
    <row r="21" ht="14.25" customHeight="1">
      <c r="B21" s="66">
        <v>45818.0</v>
      </c>
      <c r="C21" s="70"/>
      <c r="D21" s="70"/>
      <c r="E21" s="68">
        <f t="shared" si="1"/>
        <v>0</v>
      </c>
      <c r="F21" s="71">
        <v>0.0</v>
      </c>
      <c r="G21" s="72">
        <v>0.0</v>
      </c>
      <c r="H21" s="68">
        <f t="shared" si="15"/>
        <v>0</v>
      </c>
      <c r="I21" s="73">
        <f t="shared" ref="I21:J21" si="57">F21*55000*0.35/1000/0.55</f>
        <v>0</v>
      </c>
      <c r="J21" s="73">
        <f t="shared" si="57"/>
        <v>0</v>
      </c>
      <c r="K21" s="68">
        <f t="shared" si="17"/>
        <v>0</v>
      </c>
      <c r="L21" s="71">
        <v>0.0</v>
      </c>
      <c r="M21" s="71">
        <v>0.0</v>
      </c>
      <c r="N21" s="68">
        <f t="shared" si="3"/>
        <v>0</v>
      </c>
      <c r="O21" s="71">
        <v>0.0</v>
      </c>
      <c r="P21" s="71">
        <v>0.0</v>
      </c>
      <c r="Q21" s="68">
        <f t="shared" si="4"/>
        <v>0</v>
      </c>
      <c r="R21" s="71">
        <f t="shared" ref="R21:S21" si="58">L21-O21</f>
        <v>0</v>
      </c>
      <c r="S21" s="71">
        <f t="shared" si="58"/>
        <v>0</v>
      </c>
      <c r="T21" s="68">
        <f t="shared" si="6"/>
        <v>0</v>
      </c>
      <c r="U21" s="71">
        <f t="shared" ref="U21:V21" si="59">R21*0.55</f>
        <v>0</v>
      </c>
      <c r="V21" s="71">
        <f t="shared" si="59"/>
        <v>0</v>
      </c>
      <c r="W21" s="68">
        <f t="shared" si="8"/>
        <v>0</v>
      </c>
      <c r="X21" s="71">
        <v>0.0</v>
      </c>
      <c r="Y21" s="71">
        <v>0.0</v>
      </c>
      <c r="Z21" s="68">
        <f t="shared" si="9"/>
        <v>0</v>
      </c>
      <c r="AA21" s="71">
        <f t="shared" ref="AA21:AB21" si="60">X21*0.95</f>
        <v>0</v>
      </c>
      <c r="AB21" s="71">
        <f t="shared" si="60"/>
        <v>0</v>
      </c>
      <c r="AC21" s="68">
        <f t="shared" si="11"/>
        <v>0</v>
      </c>
      <c r="AD21" s="71">
        <v>0.0</v>
      </c>
      <c r="AE21" s="71">
        <v>0.0</v>
      </c>
      <c r="AF21" s="68">
        <f t="shared" si="12"/>
        <v>0</v>
      </c>
      <c r="AG21" s="71">
        <f t="shared" ref="AG21:AH21" si="61">AD21/1.05506</f>
        <v>0</v>
      </c>
      <c r="AH21" s="71">
        <f t="shared" si="61"/>
        <v>0</v>
      </c>
      <c r="AI21" s="68">
        <f t="shared" si="14"/>
        <v>0</v>
      </c>
    </row>
    <row r="22" ht="14.25" customHeight="1">
      <c r="B22" s="66">
        <v>45819.0</v>
      </c>
      <c r="C22" s="70"/>
      <c r="D22" s="70"/>
      <c r="E22" s="68">
        <f t="shared" si="1"/>
        <v>0</v>
      </c>
      <c r="F22" s="71">
        <v>0.0</v>
      </c>
      <c r="G22" s="72">
        <v>0.0</v>
      </c>
      <c r="H22" s="68">
        <f t="shared" si="15"/>
        <v>0</v>
      </c>
      <c r="I22" s="73">
        <f t="shared" ref="I22:J22" si="62">F22*55000*0.35/1000/0.55</f>
        <v>0</v>
      </c>
      <c r="J22" s="73">
        <f t="shared" si="62"/>
        <v>0</v>
      </c>
      <c r="K22" s="68">
        <f t="shared" si="17"/>
        <v>0</v>
      </c>
      <c r="L22" s="71">
        <v>0.0</v>
      </c>
      <c r="M22" s="71">
        <v>0.0</v>
      </c>
      <c r="N22" s="68">
        <f t="shared" si="3"/>
        <v>0</v>
      </c>
      <c r="O22" s="71">
        <v>0.0</v>
      </c>
      <c r="P22" s="71">
        <v>0.0</v>
      </c>
      <c r="Q22" s="68">
        <f t="shared" si="4"/>
        <v>0</v>
      </c>
      <c r="R22" s="71">
        <f t="shared" ref="R22:S22" si="63">L22-O22</f>
        <v>0</v>
      </c>
      <c r="S22" s="71">
        <f t="shared" si="63"/>
        <v>0</v>
      </c>
      <c r="T22" s="68">
        <f t="shared" si="6"/>
        <v>0</v>
      </c>
      <c r="U22" s="71">
        <f t="shared" ref="U22:V22" si="64">R22*0.55</f>
        <v>0</v>
      </c>
      <c r="V22" s="71">
        <f t="shared" si="64"/>
        <v>0</v>
      </c>
      <c r="W22" s="68">
        <f t="shared" si="8"/>
        <v>0</v>
      </c>
      <c r="X22" s="71">
        <v>0.0</v>
      </c>
      <c r="Y22" s="71">
        <v>0.0</v>
      </c>
      <c r="Z22" s="68">
        <f t="shared" si="9"/>
        <v>0</v>
      </c>
      <c r="AA22" s="71">
        <f t="shared" ref="AA22:AB22" si="65">X22*0.95</f>
        <v>0</v>
      </c>
      <c r="AB22" s="71">
        <f t="shared" si="65"/>
        <v>0</v>
      </c>
      <c r="AC22" s="68">
        <f t="shared" si="11"/>
        <v>0</v>
      </c>
      <c r="AD22" s="71">
        <v>0.0</v>
      </c>
      <c r="AE22" s="71">
        <v>0.0</v>
      </c>
      <c r="AF22" s="68">
        <f t="shared" si="12"/>
        <v>0</v>
      </c>
      <c r="AG22" s="71">
        <f t="shared" ref="AG22:AH22" si="66">AD22/1.05506</f>
        <v>0</v>
      </c>
      <c r="AH22" s="71">
        <f t="shared" si="66"/>
        <v>0</v>
      </c>
      <c r="AI22" s="68">
        <f t="shared" si="14"/>
        <v>0</v>
      </c>
    </row>
    <row r="23" ht="14.25" customHeight="1">
      <c r="B23" s="66">
        <v>45820.0</v>
      </c>
      <c r="C23" s="70"/>
      <c r="D23" s="70"/>
      <c r="E23" s="68">
        <f t="shared" si="1"/>
        <v>0</v>
      </c>
      <c r="F23" s="71">
        <v>0.0</v>
      </c>
      <c r="G23" s="72">
        <v>0.0</v>
      </c>
      <c r="H23" s="68">
        <f t="shared" si="15"/>
        <v>0</v>
      </c>
      <c r="I23" s="73">
        <f t="shared" ref="I23:J23" si="67">F23*55000*0.35/1000/0.55</f>
        <v>0</v>
      </c>
      <c r="J23" s="73">
        <f t="shared" si="67"/>
        <v>0</v>
      </c>
      <c r="K23" s="68">
        <f t="shared" si="17"/>
        <v>0</v>
      </c>
      <c r="L23" s="71">
        <v>0.0</v>
      </c>
      <c r="M23" s="71">
        <v>0.0</v>
      </c>
      <c r="N23" s="68">
        <f t="shared" si="3"/>
        <v>0</v>
      </c>
      <c r="O23" s="71">
        <v>0.0</v>
      </c>
      <c r="P23" s="71">
        <v>0.0</v>
      </c>
      <c r="Q23" s="68">
        <f t="shared" si="4"/>
        <v>0</v>
      </c>
      <c r="R23" s="71">
        <f t="shared" ref="R23:S23" si="68">L23-O23</f>
        <v>0</v>
      </c>
      <c r="S23" s="71">
        <f t="shared" si="68"/>
        <v>0</v>
      </c>
      <c r="T23" s="68">
        <f t="shared" si="6"/>
        <v>0</v>
      </c>
      <c r="U23" s="71">
        <f t="shared" ref="U23:V23" si="69">R23*0.55</f>
        <v>0</v>
      </c>
      <c r="V23" s="71">
        <f t="shared" si="69"/>
        <v>0</v>
      </c>
      <c r="W23" s="68">
        <f t="shared" si="8"/>
        <v>0</v>
      </c>
      <c r="X23" s="71">
        <v>0.0</v>
      </c>
      <c r="Y23" s="71">
        <v>0.0</v>
      </c>
      <c r="Z23" s="68">
        <f t="shared" si="9"/>
        <v>0</v>
      </c>
      <c r="AA23" s="71">
        <f t="shared" ref="AA23:AB23" si="70">X23*0.95</f>
        <v>0</v>
      </c>
      <c r="AB23" s="71">
        <f t="shared" si="70"/>
        <v>0</v>
      </c>
      <c r="AC23" s="68">
        <f t="shared" si="11"/>
        <v>0</v>
      </c>
      <c r="AD23" s="71">
        <v>0.0</v>
      </c>
      <c r="AE23" s="71">
        <v>0.0</v>
      </c>
      <c r="AF23" s="68">
        <f t="shared" si="12"/>
        <v>0</v>
      </c>
      <c r="AG23" s="71">
        <f t="shared" ref="AG23:AH23" si="71">AD23/1.05506</f>
        <v>0</v>
      </c>
      <c r="AH23" s="71">
        <f t="shared" si="71"/>
        <v>0</v>
      </c>
      <c r="AI23" s="68">
        <f t="shared" si="14"/>
        <v>0</v>
      </c>
    </row>
    <row r="24" ht="14.25" customHeight="1">
      <c r="B24" s="66">
        <v>45821.0</v>
      </c>
      <c r="C24" s="70"/>
      <c r="D24" s="70"/>
      <c r="E24" s="68">
        <f t="shared" si="1"/>
        <v>0</v>
      </c>
      <c r="F24" s="71">
        <v>0.0</v>
      </c>
      <c r="G24" s="72">
        <v>0.0</v>
      </c>
      <c r="H24" s="68">
        <f t="shared" si="15"/>
        <v>0</v>
      </c>
      <c r="I24" s="73">
        <f t="shared" ref="I24:J24" si="72">F24*55000*0.35/1000/0.55</f>
        <v>0</v>
      </c>
      <c r="J24" s="73">
        <f t="shared" si="72"/>
        <v>0</v>
      </c>
      <c r="K24" s="68">
        <f t="shared" si="17"/>
        <v>0</v>
      </c>
      <c r="L24" s="71">
        <v>0.0</v>
      </c>
      <c r="M24" s="71">
        <v>0.0</v>
      </c>
      <c r="N24" s="68">
        <f t="shared" si="3"/>
        <v>0</v>
      </c>
      <c r="O24" s="71">
        <v>0.0</v>
      </c>
      <c r="P24" s="71">
        <v>0.0</v>
      </c>
      <c r="Q24" s="68">
        <f t="shared" si="4"/>
        <v>0</v>
      </c>
      <c r="R24" s="71">
        <f t="shared" ref="R24:S24" si="73">L24-O24</f>
        <v>0</v>
      </c>
      <c r="S24" s="71">
        <f t="shared" si="73"/>
        <v>0</v>
      </c>
      <c r="T24" s="68">
        <f t="shared" si="6"/>
        <v>0</v>
      </c>
      <c r="U24" s="71">
        <f t="shared" ref="U24:V24" si="74">R24*0.55</f>
        <v>0</v>
      </c>
      <c r="V24" s="71">
        <f t="shared" si="74"/>
        <v>0</v>
      </c>
      <c r="W24" s="68">
        <f t="shared" si="8"/>
        <v>0</v>
      </c>
      <c r="X24" s="71">
        <v>0.0</v>
      </c>
      <c r="Y24" s="71">
        <v>0.0</v>
      </c>
      <c r="Z24" s="68">
        <f t="shared" si="9"/>
        <v>0</v>
      </c>
      <c r="AA24" s="71">
        <f t="shared" ref="AA24:AB24" si="75">X24*0.95</f>
        <v>0</v>
      </c>
      <c r="AB24" s="71">
        <f t="shared" si="75"/>
        <v>0</v>
      </c>
      <c r="AC24" s="68">
        <f t="shared" si="11"/>
        <v>0</v>
      </c>
      <c r="AD24" s="71">
        <v>0.0</v>
      </c>
      <c r="AE24" s="71">
        <v>0.0</v>
      </c>
      <c r="AF24" s="68">
        <f t="shared" si="12"/>
        <v>0</v>
      </c>
      <c r="AG24" s="71">
        <f t="shared" ref="AG24:AH24" si="76">AD24/1.05506</f>
        <v>0</v>
      </c>
      <c r="AH24" s="71">
        <f t="shared" si="76"/>
        <v>0</v>
      </c>
      <c r="AI24" s="68">
        <f t="shared" si="14"/>
        <v>0</v>
      </c>
    </row>
    <row r="25" ht="14.25" customHeight="1">
      <c r="B25" s="66">
        <v>45822.0</v>
      </c>
      <c r="C25" s="70"/>
      <c r="D25" s="70"/>
      <c r="E25" s="68">
        <f t="shared" si="1"/>
        <v>0</v>
      </c>
      <c r="F25" s="71">
        <v>0.0</v>
      </c>
      <c r="G25" s="72">
        <v>0.0</v>
      </c>
      <c r="H25" s="68">
        <f t="shared" si="15"/>
        <v>0</v>
      </c>
      <c r="I25" s="73">
        <f t="shared" ref="I25:J25" si="77">F25*55000*0.35/1000/0.55</f>
        <v>0</v>
      </c>
      <c r="J25" s="73">
        <f t="shared" si="77"/>
        <v>0</v>
      </c>
      <c r="K25" s="68">
        <f t="shared" si="17"/>
        <v>0</v>
      </c>
      <c r="L25" s="71">
        <v>0.0</v>
      </c>
      <c r="M25" s="71">
        <v>0.0</v>
      </c>
      <c r="N25" s="68">
        <f t="shared" si="3"/>
        <v>0</v>
      </c>
      <c r="O25" s="71">
        <v>0.0</v>
      </c>
      <c r="P25" s="71">
        <v>0.0</v>
      </c>
      <c r="Q25" s="68">
        <f t="shared" si="4"/>
        <v>0</v>
      </c>
      <c r="R25" s="71">
        <f t="shared" ref="R25:S25" si="78">L25-O25</f>
        <v>0</v>
      </c>
      <c r="S25" s="71">
        <f t="shared" si="78"/>
        <v>0</v>
      </c>
      <c r="T25" s="68">
        <f t="shared" si="6"/>
        <v>0</v>
      </c>
      <c r="U25" s="71">
        <f t="shared" ref="U25:V25" si="79">R25*0.55</f>
        <v>0</v>
      </c>
      <c r="V25" s="71">
        <f t="shared" si="79"/>
        <v>0</v>
      </c>
      <c r="W25" s="68">
        <f t="shared" si="8"/>
        <v>0</v>
      </c>
      <c r="X25" s="71">
        <v>0.0</v>
      </c>
      <c r="Y25" s="71">
        <v>0.0</v>
      </c>
      <c r="Z25" s="68">
        <f t="shared" si="9"/>
        <v>0</v>
      </c>
      <c r="AA25" s="71">
        <f t="shared" ref="AA25:AB25" si="80">X25*0.95</f>
        <v>0</v>
      </c>
      <c r="AB25" s="71">
        <f t="shared" si="80"/>
        <v>0</v>
      </c>
      <c r="AC25" s="68">
        <f t="shared" si="11"/>
        <v>0</v>
      </c>
      <c r="AD25" s="71">
        <v>0.0</v>
      </c>
      <c r="AE25" s="71">
        <v>0.0</v>
      </c>
      <c r="AF25" s="68">
        <f t="shared" si="12"/>
        <v>0</v>
      </c>
      <c r="AG25" s="71">
        <f t="shared" ref="AG25:AH25" si="81">AD25/1.05506</f>
        <v>0</v>
      </c>
      <c r="AH25" s="71">
        <f t="shared" si="81"/>
        <v>0</v>
      </c>
      <c r="AI25" s="68">
        <f t="shared" si="14"/>
        <v>0</v>
      </c>
    </row>
    <row r="26" ht="14.25" customHeight="1">
      <c r="B26" s="66">
        <v>45823.0</v>
      </c>
      <c r="C26" s="70"/>
      <c r="D26" s="70"/>
      <c r="E26" s="68">
        <f t="shared" si="1"/>
        <v>0</v>
      </c>
      <c r="F26" s="71">
        <v>0.0</v>
      </c>
      <c r="G26" s="72">
        <v>0.0</v>
      </c>
      <c r="H26" s="68">
        <f t="shared" si="15"/>
        <v>0</v>
      </c>
      <c r="I26" s="73">
        <f t="shared" ref="I26:J26" si="82">F26*55000*0.35/1000/0.55</f>
        <v>0</v>
      </c>
      <c r="J26" s="73">
        <f t="shared" si="82"/>
        <v>0</v>
      </c>
      <c r="K26" s="68">
        <f t="shared" si="17"/>
        <v>0</v>
      </c>
      <c r="L26" s="71">
        <v>0.0</v>
      </c>
      <c r="M26" s="71">
        <v>0.0</v>
      </c>
      <c r="N26" s="68">
        <f t="shared" si="3"/>
        <v>0</v>
      </c>
      <c r="O26" s="71">
        <v>0.0</v>
      </c>
      <c r="P26" s="71">
        <v>0.0</v>
      </c>
      <c r="Q26" s="68">
        <f t="shared" si="4"/>
        <v>0</v>
      </c>
      <c r="R26" s="71">
        <f t="shared" ref="R26:S26" si="83">L26-O26</f>
        <v>0</v>
      </c>
      <c r="S26" s="71">
        <f t="shared" si="83"/>
        <v>0</v>
      </c>
      <c r="T26" s="68">
        <f t="shared" si="6"/>
        <v>0</v>
      </c>
      <c r="U26" s="71">
        <f t="shared" ref="U26:V26" si="84">R26*0.55</f>
        <v>0</v>
      </c>
      <c r="V26" s="71">
        <f t="shared" si="84"/>
        <v>0</v>
      </c>
      <c r="W26" s="68">
        <f t="shared" si="8"/>
        <v>0</v>
      </c>
      <c r="X26" s="71">
        <v>0.0</v>
      </c>
      <c r="Y26" s="71">
        <v>0.0</v>
      </c>
      <c r="Z26" s="68">
        <f t="shared" si="9"/>
        <v>0</v>
      </c>
      <c r="AA26" s="71">
        <f t="shared" ref="AA26:AB26" si="85">X26*0.95</f>
        <v>0</v>
      </c>
      <c r="AB26" s="71">
        <f t="shared" si="85"/>
        <v>0</v>
      </c>
      <c r="AC26" s="68">
        <f t="shared" si="11"/>
        <v>0</v>
      </c>
      <c r="AD26" s="71">
        <v>0.0</v>
      </c>
      <c r="AE26" s="71">
        <v>0.0</v>
      </c>
      <c r="AF26" s="68">
        <f t="shared" si="12"/>
        <v>0</v>
      </c>
      <c r="AG26" s="71">
        <f t="shared" ref="AG26:AH26" si="86">AD26/1.05506</f>
        <v>0</v>
      </c>
      <c r="AH26" s="71">
        <f t="shared" si="86"/>
        <v>0</v>
      </c>
      <c r="AI26" s="68">
        <f t="shared" si="14"/>
        <v>0</v>
      </c>
    </row>
    <row r="27" ht="14.25" customHeight="1">
      <c r="B27" s="66">
        <v>45824.0</v>
      </c>
      <c r="C27" s="70"/>
      <c r="D27" s="70"/>
      <c r="E27" s="68">
        <f t="shared" si="1"/>
        <v>0</v>
      </c>
      <c r="F27" s="71">
        <v>0.0</v>
      </c>
      <c r="G27" s="72">
        <v>0.0</v>
      </c>
      <c r="H27" s="68">
        <f t="shared" si="15"/>
        <v>0</v>
      </c>
      <c r="I27" s="73">
        <f t="shared" ref="I27:J27" si="87">F27*55000*0.35/1000/0.55</f>
        <v>0</v>
      </c>
      <c r="J27" s="73">
        <f t="shared" si="87"/>
        <v>0</v>
      </c>
      <c r="K27" s="68">
        <f t="shared" si="17"/>
        <v>0</v>
      </c>
      <c r="L27" s="71">
        <v>0.0</v>
      </c>
      <c r="M27" s="71">
        <v>0.0</v>
      </c>
      <c r="N27" s="68">
        <f t="shared" si="3"/>
        <v>0</v>
      </c>
      <c r="O27" s="71">
        <v>0.0</v>
      </c>
      <c r="P27" s="71">
        <v>0.0</v>
      </c>
      <c r="Q27" s="68">
        <f t="shared" si="4"/>
        <v>0</v>
      </c>
      <c r="R27" s="71">
        <f t="shared" ref="R27:S27" si="88">L27-O27</f>
        <v>0</v>
      </c>
      <c r="S27" s="71">
        <f t="shared" si="88"/>
        <v>0</v>
      </c>
      <c r="T27" s="68">
        <f t="shared" si="6"/>
        <v>0</v>
      </c>
      <c r="U27" s="71">
        <f t="shared" ref="U27:V27" si="89">R27*0.55</f>
        <v>0</v>
      </c>
      <c r="V27" s="71">
        <f t="shared" si="89"/>
        <v>0</v>
      </c>
      <c r="W27" s="68">
        <f t="shared" si="8"/>
        <v>0</v>
      </c>
      <c r="X27" s="71">
        <v>0.0</v>
      </c>
      <c r="Y27" s="71">
        <v>0.0</v>
      </c>
      <c r="Z27" s="68">
        <f t="shared" si="9"/>
        <v>0</v>
      </c>
      <c r="AA27" s="71">
        <f t="shared" ref="AA27:AB27" si="90">X27*0.95</f>
        <v>0</v>
      </c>
      <c r="AB27" s="71">
        <f t="shared" si="90"/>
        <v>0</v>
      </c>
      <c r="AC27" s="68">
        <f t="shared" si="11"/>
        <v>0</v>
      </c>
      <c r="AD27" s="71">
        <v>0.0</v>
      </c>
      <c r="AE27" s="71">
        <v>0.0</v>
      </c>
      <c r="AF27" s="68">
        <f t="shared" si="12"/>
        <v>0</v>
      </c>
      <c r="AG27" s="71">
        <f t="shared" ref="AG27:AH27" si="91">AD27/1.05506</f>
        <v>0</v>
      </c>
      <c r="AH27" s="71">
        <f t="shared" si="91"/>
        <v>0</v>
      </c>
      <c r="AI27" s="68">
        <f t="shared" si="14"/>
        <v>0</v>
      </c>
    </row>
    <row r="28" ht="14.25" customHeight="1">
      <c r="B28" s="66">
        <v>45825.0</v>
      </c>
      <c r="C28" s="70"/>
      <c r="D28" s="70"/>
      <c r="E28" s="68">
        <f t="shared" si="1"/>
        <v>0</v>
      </c>
      <c r="F28" s="71">
        <v>0.0</v>
      </c>
      <c r="G28" s="72">
        <v>0.0</v>
      </c>
      <c r="H28" s="68">
        <f t="shared" si="15"/>
        <v>0</v>
      </c>
      <c r="I28" s="73">
        <f t="shared" ref="I28:J28" si="92">F28*55000*0.35/1000/0.55</f>
        <v>0</v>
      </c>
      <c r="J28" s="73">
        <f t="shared" si="92"/>
        <v>0</v>
      </c>
      <c r="K28" s="68">
        <f t="shared" si="17"/>
        <v>0</v>
      </c>
      <c r="L28" s="71">
        <v>0.0</v>
      </c>
      <c r="M28" s="71">
        <v>0.0</v>
      </c>
      <c r="N28" s="68">
        <f t="shared" si="3"/>
        <v>0</v>
      </c>
      <c r="O28" s="71">
        <v>0.0</v>
      </c>
      <c r="P28" s="71">
        <v>0.0</v>
      </c>
      <c r="Q28" s="68">
        <f t="shared" si="4"/>
        <v>0</v>
      </c>
      <c r="R28" s="71">
        <f t="shared" ref="R28:S28" si="93">L28-O28</f>
        <v>0</v>
      </c>
      <c r="S28" s="71">
        <f t="shared" si="93"/>
        <v>0</v>
      </c>
      <c r="T28" s="68">
        <f t="shared" si="6"/>
        <v>0</v>
      </c>
      <c r="U28" s="71">
        <f t="shared" ref="U28:V28" si="94">R28*0.55</f>
        <v>0</v>
      </c>
      <c r="V28" s="71">
        <f t="shared" si="94"/>
        <v>0</v>
      </c>
      <c r="W28" s="68">
        <f t="shared" si="8"/>
        <v>0</v>
      </c>
      <c r="X28" s="71">
        <v>0.0</v>
      </c>
      <c r="Y28" s="71">
        <v>0.0</v>
      </c>
      <c r="Z28" s="68">
        <f t="shared" si="9"/>
        <v>0</v>
      </c>
      <c r="AA28" s="71">
        <f t="shared" ref="AA28:AB28" si="95">X28*0.95</f>
        <v>0</v>
      </c>
      <c r="AB28" s="71">
        <f t="shared" si="95"/>
        <v>0</v>
      </c>
      <c r="AC28" s="68">
        <f t="shared" si="11"/>
        <v>0</v>
      </c>
      <c r="AD28" s="71">
        <v>0.0</v>
      </c>
      <c r="AE28" s="71">
        <v>0.0</v>
      </c>
      <c r="AF28" s="68">
        <f t="shared" si="12"/>
        <v>0</v>
      </c>
      <c r="AG28" s="71">
        <f t="shared" ref="AG28:AH28" si="96">AD28/1.05506</f>
        <v>0</v>
      </c>
      <c r="AH28" s="71">
        <f t="shared" si="96"/>
        <v>0</v>
      </c>
      <c r="AI28" s="68">
        <f t="shared" si="14"/>
        <v>0</v>
      </c>
    </row>
    <row r="29" ht="14.25" customHeight="1">
      <c r="B29" s="66">
        <v>45826.0</v>
      </c>
      <c r="C29" s="70"/>
      <c r="D29" s="70"/>
      <c r="E29" s="68">
        <f t="shared" si="1"/>
        <v>0</v>
      </c>
      <c r="F29" s="71">
        <v>0.0</v>
      </c>
      <c r="G29" s="72">
        <v>0.0</v>
      </c>
      <c r="H29" s="68">
        <f t="shared" si="15"/>
        <v>0</v>
      </c>
      <c r="I29" s="73">
        <f t="shared" ref="I29:J29" si="97">F29*55000*0.35/1000/0.55</f>
        <v>0</v>
      </c>
      <c r="J29" s="73">
        <f t="shared" si="97"/>
        <v>0</v>
      </c>
      <c r="K29" s="68">
        <f t="shared" si="17"/>
        <v>0</v>
      </c>
      <c r="L29" s="71">
        <v>0.0</v>
      </c>
      <c r="M29" s="71">
        <v>0.0</v>
      </c>
      <c r="N29" s="68">
        <f t="shared" si="3"/>
        <v>0</v>
      </c>
      <c r="O29" s="71">
        <v>0.0</v>
      </c>
      <c r="P29" s="71">
        <v>0.0</v>
      </c>
      <c r="Q29" s="68">
        <f t="shared" si="4"/>
        <v>0</v>
      </c>
      <c r="R29" s="71">
        <f t="shared" ref="R29:S29" si="98">L29-O29</f>
        <v>0</v>
      </c>
      <c r="S29" s="71">
        <f t="shared" si="98"/>
        <v>0</v>
      </c>
      <c r="T29" s="68">
        <f t="shared" si="6"/>
        <v>0</v>
      </c>
      <c r="U29" s="71">
        <f t="shared" ref="U29:V29" si="99">R29*0.55</f>
        <v>0</v>
      </c>
      <c r="V29" s="71">
        <f t="shared" si="99"/>
        <v>0</v>
      </c>
      <c r="W29" s="68">
        <f t="shared" si="8"/>
        <v>0</v>
      </c>
      <c r="X29" s="71">
        <v>0.0</v>
      </c>
      <c r="Y29" s="71">
        <v>0.0</v>
      </c>
      <c r="Z29" s="68">
        <f t="shared" si="9"/>
        <v>0</v>
      </c>
      <c r="AA29" s="71">
        <f t="shared" ref="AA29:AB29" si="100">X29*0.95</f>
        <v>0</v>
      </c>
      <c r="AB29" s="71">
        <f t="shared" si="100"/>
        <v>0</v>
      </c>
      <c r="AC29" s="68">
        <f t="shared" si="11"/>
        <v>0</v>
      </c>
      <c r="AD29" s="71">
        <v>0.0</v>
      </c>
      <c r="AE29" s="71">
        <v>0.0</v>
      </c>
      <c r="AF29" s="68">
        <f t="shared" si="12"/>
        <v>0</v>
      </c>
      <c r="AG29" s="71">
        <f t="shared" ref="AG29:AH29" si="101">AD29/1.05506</f>
        <v>0</v>
      </c>
      <c r="AH29" s="71">
        <f t="shared" si="101"/>
        <v>0</v>
      </c>
      <c r="AI29" s="68">
        <f t="shared" si="14"/>
        <v>0</v>
      </c>
    </row>
    <row r="30" ht="14.25" customHeight="1">
      <c r="B30" s="66">
        <v>45827.0</v>
      </c>
      <c r="C30" s="70"/>
      <c r="D30" s="70"/>
      <c r="E30" s="68">
        <f t="shared" si="1"/>
        <v>0</v>
      </c>
      <c r="F30" s="71">
        <v>0.0</v>
      </c>
      <c r="G30" s="72">
        <v>0.0</v>
      </c>
      <c r="H30" s="68">
        <f t="shared" si="15"/>
        <v>0</v>
      </c>
      <c r="I30" s="73">
        <f t="shared" ref="I30:J30" si="102">F30*55000*0.35/1000/0.55</f>
        <v>0</v>
      </c>
      <c r="J30" s="73">
        <f t="shared" si="102"/>
        <v>0</v>
      </c>
      <c r="K30" s="68">
        <f t="shared" si="17"/>
        <v>0</v>
      </c>
      <c r="L30" s="71">
        <v>0.0</v>
      </c>
      <c r="M30" s="71">
        <v>0.0</v>
      </c>
      <c r="N30" s="68">
        <f t="shared" si="3"/>
        <v>0</v>
      </c>
      <c r="O30" s="71">
        <v>0.0</v>
      </c>
      <c r="P30" s="71">
        <v>0.0</v>
      </c>
      <c r="Q30" s="68">
        <f t="shared" si="4"/>
        <v>0</v>
      </c>
      <c r="R30" s="71">
        <f t="shared" ref="R30:S30" si="103">L30-O30</f>
        <v>0</v>
      </c>
      <c r="S30" s="71">
        <f t="shared" si="103"/>
        <v>0</v>
      </c>
      <c r="T30" s="68">
        <f t="shared" si="6"/>
        <v>0</v>
      </c>
      <c r="U30" s="71">
        <f t="shared" ref="U30:V30" si="104">R30*0.55</f>
        <v>0</v>
      </c>
      <c r="V30" s="71">
        <f t="shared" si="104"/>
        <v>0</v>
      </c>
      <c r="W30" s="68">
        <f t="shared" si="8"/>
        <v>0</v>
      </c>
      <c r="X30" s="71">
        <v>0.0</v>
      </c>
      <c r="Y30" s="71">
        <v>0.0</v>
      </c>
      <c r="Z30" s="68">
        <f t="shared" si="9"/>
        <v>0</v>
      </c>
      <c r="AA30" s="71">
        <f t="shared" ref="AA30:AB30" si="105">X30*0.95</f>
        <v>0</v>
      </c>
      <c r="AB30" s="71">
        <f t="shared" si="105"/>
        <v>0</v>
      </c>
      <c r="AC30" s="68">
        <f t="shared" si="11"/>
        <v>0</v>
      </c>
      <c r="AD30" s="71">
        <v>0.0</v>
      </c>
      <c r="AE30" s="71">
        <v>0.0</v>
      </c>
      <c r="AF30" s="68">
        <f t="shared" si="12"/>
        <v>0</v>
      </c>
      <c r="AG30" s="71">
        <f t="shared" ref="AG30:AH30" si="106">AD30/1.05506</f>
        <v>0</v>
      </c>
      <c r="AH30" s="71">
        <f t="shared" si="106"/>
        <v>0</v>
      </c>
      <c r="AI30" s="68">
        <f t="shared" si="14"/>
        <v>0</v>
      </c>
    </row>
    <row r="31" ht="14.25" customHeight="1">
      <c r="B31" s="66">
        <v>45828.0</v>
      </c>
      <c r="C31" s="70"/>
      <c r="D31" s="70"/>
      <c r="E31" s="68">
        <f t="shared" si="1"/>
        <v>0</v>
      </c>
      <c r="F31" s="71">
        <v>0.0</v>
      </c>
      <c r="G31" s="72">
        <v>0.0</v>
      </c>
      <c r="H31" s="68">
        <f t="shared" si="15"/>
        <v>0</v>
      </c>
      <c r="I31" s="73">
        <f t="shared" ref="I31:J31" si="107">F31*55000*0.35/1000/0.55</f>
        <v>0</v>
      </c>
      <c r="J31" s="73">
        <f t="shared" si="107"/>
        <v>0</v>
      </c>
      <c r="K31" s="68">
        <f t="shared" si="17"/>
        <v>0</v>
      </c>
      <c r="L31" s="71">
        <v>0.0</v>
      </c>
      <c r="M31" s="71">
        <v>0.0</v>
      </c>
      <c r="N31" s="68">
        <f t="shared" si="3"/>
        <v>0</v>
      </c>
      <c r="O31" s="71">
        <v>0.0</v>
      </c>
      <c r="P31" s="71">
        <v>0.0</v>
      </c>
      <c r="Q31" s="68">
        <f t="shared" si="4"/>
        <v>0</v>
      </c>
      <c r="R31" s="71">
        <f t="shared" ref="R31:S31" si="108">L31-O31</f>
        <v>0</v>
      </c>
      <c r="S31" s="71">
        <f t="shared" si="108"/>
        <v>0</v>
      </c>
      <c r="T31" s="68">
        <f t="shared" si="6"/>
        <v>0</v>
      </c>
      <c r="U31" s="71">
        <f t="shared" ref="U31:V31" si="109">R31*0.55</f>
        <v>0</v>
      </c>
      <c r="V31" s="71">
        <f t="shared" si="109"/>
        <v>0</v>
      </c>
      <c r="W31" s="68">
        <f t="shared" si="8"/>
        <v>0</v>
      </c>
      <c r="X31" s="71">
        <v>0.0</v>
      </c>
      <c r="Y31" s="71">
        <v>0.0</v>
      </c>
      <c r="Z31" s="68">
        <f t="shared" si="9"/>
        <v>0</v>
      </c>
      <c r="AA31" s="71">
        <f t="shared" ref="AA31:AB31" si="110">X31*0.95</f>
        <v>0</v>
      </c>
      <c r="AB31" s="71">
        <f t="shared" si="110"/>
        <v>0</v>
      </c>
      <c r="AC31" s="68">
        <f t="shared" si="11"/>
        <v>0</v>
      </c>
      <c r="AD31" s="71">
        <v>0.0</v>
      </c>
      <c r="AE31" s="71">
        <v>0.0</v>
      </c>
      <c r="AF31" s="68">
        <f t="shared" si="12"/>
        <v>0</v>
      </c>
      <c r="AG31" s="71">
        <f t="shared" ref="AG31:AH31" si="111">AD31/1.05506</f>
        <v>0</v>
      </c>
      <c r="AH31" s="71">
        <f t="shared" si="111"/>
        <v>0</v>
      </c>
      <c r="AI31" s="68">
        <f t="shared" si="14"/>
        <v>0</v>
      </c>
    </row>
    <row r="32" ht="14.25" customHeight="1">
      <c r="B32" s="66">
        <v>45829.0</v>
      </c>
      <c r="C32" s="70"/>
      <c r="D32" s="70"/>
      <c r="E32" s="68">
        <f t="shared" si="1"/>
        <v>0</v>
      </c>
      <c r="F32" s="71">
        <v>0.0</v>
      </c>
      <c r="G32" s="72">
        <v>0.0</v>
      </c>
      <c r="H32" s="68">
        <f t="shared" si="15"/>
        <v>0</v>
      </c>
      <c r="I32" s="73">
        <f t="shared" ref="I32:J32" si="112">F32*55000*0.35/1000/0.55</f>
        <v>0</v>
      </c>
      <c r="J32" s="73">
        <f t="shared" si="112"/>
        <v>0</v>
      </c>
      <c r="K32" s="68">
        <f t="shared" si="17"/>
        <v>0</v>
      </c>
      <c r="L32" s="71">
        <v>0.0</v>
      </c>
      <c r="M32" s="71">
        <v>0.0</v>
      </c>
      <c r="N32" s="68">
        <f t="shared" si="3"/>
        <v>0</v>
      </c>
      <c r="O32" s="71">
        <v>0.0</v>
      </c>
      <c r="P32" s="71">
        <v>0.0</v>
      </c>
      <c r="Q32" s="68">
        <f t="shared" si="4"/>
        <v>0</v>
      </c>
      <c r="R32" s="71">
        <f t="shared" ref="R32:S32" si="113">L32-O32</f>
        <v>0</v>
      </c>
      <c r="S32" s="71">
        <f t="shared" si="113"/>
        <v>0</v>
      </c>
      <c r="T32" s="68">
        <f t="shared" si="6"/>
        <v>0</v>
      </c>
      <c r="U32" s="71">
        <f t="shared" ref="U32:V32" si="114">R32*0.55</f>
        <v>0</v>
      </c>
      <c r="V32" s="71">
        <f t="shared" si="114"/>
        <v>0</v>
      </c>
      <c r="W32" s="68">
        <f t="shared" si="8"/>
        <v>0</v>
      </c>
      <c r="X32" s="71">
        <v>0.0</v>
      </c>
      <c r="Y32" s="71">
        <v>0.0</v>
      </c>
      <c r="Z32" s="68">
        <f t="shared" si="9"/>
        <v>0</v>
      </c>
      <c r="AA32" s="71">
        <f t="shared" ref="AA32:AB32" si="115">X32*0.95</f>
        <v>0</v>
      </c>
      <c r="AB32" s="71">
        <f t="shared" si="115"/>
        <v>0</v>
      </c>
      <c r="AC32" s="68">
        <f t="shared" si="11"/>
        <v>0</v>
      </c>
      <c r="AD32" s="71">
        <v>0.0</v>
      </c>
      <c r="AE32" s="71">
        <v>0.0</v>
      </c>
      <c r="AF32" s="68">
        <f t="shared" si="12"/>
        <v>0</v>
      </c>
      <c r="AG32" s="71">
        <f t="shared" ref="AG32:AH32" si="116">AD32/1.05506</f>
        <v>0</v>
      </c>
      <c r="AH32" s="71">
        <f t="shared" si="116"/>
        <v>0</v>
      </c>
      <c r="AI32" s="68">
        <f t="shared" si="14"/>
        <v>0</v>
      </c>
    </row>
    <row r="33" ht="14.25" customHeight="1">
      <c r="B33" s="66">
        <v>45830.0</v>
      </c>
      <c r="C33" s="70"/>
      <c r="D33" s="70"/>
      <c r="E33" s="68">
        <f t="shared" si="1"/>
        <v>0</v>
      </c>
      <c r="F33" s="71">
        <v>0.0</v>
      </c>
      <c r="G33" s="72">
        <v>0.0</v>
      </c>
      <c r="H33" s="68">
        <f t="shared" si="15"/>
        <v>0</v>
      </c>
      <c r="I33" s="73">
        <f t="shared" ref="I33:J33" si="117">F33*55000*0.35/1000/0.55</f>
        <v>0</v>
      </c>
      <c r="J33" s="73">
        <f t="shared" si="117"/>
        <v>0</v>
      </c>
      <c r="K33" s="68">
        <f t="shared" si="17"/>
        <v>0</v>
      </c>
      <c r="L33" s="71">
        <v>0.0</v>
      </c>
      <c r="M33" s="71">
        <v>0.0</v>
      </c>
      <c r="N33" s="68">
        <f t="shared" si="3"/>
        <v>0</v>
      </c>
      <c r="O33" s="71">
        <v>0.0</v>
      </c>
      <c r="P33" s="71">
        <v>0.0</v>
      </c>
      <c r="Q33" s="68">
        <f t="shared" si="4"/>
        <v>0</v>
      </c>
      <c r="R33" s="71">
        <f t="shared" ref="R33:S33" si="118">L33-O33</f>
        <v>0</v>
      </c>
      <c r="S33" s="71">
        <f t="shared" si="118"/>
        <v>0</v>
      </c>
      <c r="T33" s="68">
        <f t="shared" si="6"/>
        <v>0</v>
      </c>
      <c r="U33" s="71">
        <f t="shared" ref="U33:V33" si="119">R33*0.55</f>
        <v>0</v>
      </c>
      <c r="V33" s="71">
        <f t="shared" si="119"/>
        <v>0</v>
      </c>
      <c r="W33" s="68">
        <f t="shared" si="8"/>
        <v>0</v>
      </c>
      <c r="X33" s="71">
        <v>0.0</v>
      </c>
      <c r="Y33" s="71">
        <v>0.0</v>
      </c>
      <c r="Z33" s="68">
        <f t="shared" si="9"/>
        <v>0</v>
      </c>
      <c r="AA33" s="71">
        <f t="shared" ref="AA33:AB33" si="120">X33*0.95</f>
        <v>0</v>
      </c>
      <c r="AB33" s="71">
        <f t="shared" si="120"/>
        <v>0</v>
      </c>
      <c r="AC33" s="68">
        <f t="shared" si="11"/>
        <v>0</v>
      </c>
      <c r="AD33" s="71">
        <v>0.0</v>
      </c>
      <c r="AE33" s="71">
        <v>0.0</v>
      </c>
      <c r="AF33" s="68">
        <f t="shared" si="12"/>
        <v>0</v>
      </c>
      <c r="AG33" s="71">
        <f t="shared" ref="AG33:AH33" si="121">AD33/1.05506</f>
        <v>0</v>
      </c>
      <c r="AH33" s="71">
        <f t="shared" si="121"/>
        <v>0</v>
      </c>
      <c r="AI33" s="68">
        <f t="shared" si="14"/>
        <v>0</v>
      </c>
    </row>
    <row r="34" ht="14.25" customHeight="1">
      <c r="B34" s="66">
        <v>45831.0</v>
      </c>
      <c r="C34" s="70"/>
      <c r="D34" s="70"/>
      <c r="E34" s="68">
        <f t="shared" si="1"/>
        <v>0</v>
      </c>
      <c r="F34" s="71">
        <v>0.0</v>
      </c>
      <c r="G34" s="72">
        <v>0.0</v>
      </c>
      <c r="H34" s="68">
        <f t="shared" si="15"/>
        <v>0</v>
      </c>
      <c r="I34" s="73">
        <f t="shared" ref="I34:J34" si="122">F34*55000*0.35/1000/0.55</f>
        <v>0</v>
      </c>
      <c r="J34" s="73">
        <f t="shared" si="122"/>
        <v>0</v>
      </c>
      <c r="K34" s="68">
        <f t="shared" si="17"/>
        <v>0</v>
      </c>
      <c r="L34" s="71">
        <v>0.0</v>
      </c>
      <c r="M34" s="71">
        <v>0.0</v>
      </c>
      <c r="N34" s="68">
        <f t="shared" si="3"/>
        <v>0</v>
      </c>
      <c r="O34" s="71">
        <v>0.0</v>
      </c>
      <c r="P34" s="71">
        <v>0.0</v>
      </c>
      <c r="Q34" s="68">
        <f t="shared" si="4"/>
        <v>0</v>
      </c>
      <c r="R34" s="71">
        <f t="shared" ref="R34:S34" si="123">L34-O34</f>
        <v>0</v>
      </c>
      <c r="S34" s="71">
        <f t="shared" si="123"/>
        <v>0</v>
      </c>
      <c r="T34" s="68">
        <f t="shared" si="6"/>
        <v>0</v>
      </c>
      <c r="U34" s="71">
        <f t="shared" ref="U34:V34" si="124">R34*0.55</f>
        <v>0</v>
      </c>
      <c r="V34" s="71">
        <f t="shared" si="124"/>
        <v>0</v>
      </c>
      <c r="W34" s="68">
        <f t="shared" si="8"/>
        <v>0</v>
      </c>
      <c r="X34" s="71">
        <v>0.0</v>
      </c>
      <c r="Y34" s="71">
        <v>0.0</v>
      </c>
      <c r="Z34" s="68">
        <f t="shared" si="9"/>
        <v>0</v>
      </c>
      <c r="AA34" s="71">
        <f t="shared" ref="AA34:AB34" si="125">X34*0.95</f>
        <v>0</v>
      </c>
      <c r="AB34" s="71">
        <f t="shared" si="125"/>
        <v>0</v>
      </c>
      <c r="AC34" s="68">
        <f t="shared" si="11"/>
        <v>0</v>
      </c>
      <c r="AD34" s="71">
        <v>0.0</v>
      </c>
      <c r="AE34" s="71">
        <v>0.0</v>
      </c>
      <c r="AF34" s="68">
        <f t="shared" si="12"/>
        <v>0</v>
      </c>
      <c r="AG34" s="71">
        <f t="shared" ref="AG34:AH34" si="126">AD34/1.05506</f>
        <v>0</v>
      </c>
      <c r="AH34" s="71">
        <f t="shared" si="126"/>
        <v>0</v>
      </c>
      <c r="AI34" s="68">
        <f t="shared" si="14"/>
        <v>0</v>
      </c>
    </row>
    <row r="35" ht="14.25" customHeight="1">
      <c r="B35" s="66">
        <v>45832.0</v>
      </c>
      <c r="C35" s="70"/>
      <c r="D35" s="70"/>
      <c r="E35" s="68">
        <f t="shared" si="1"/>
        <v>0</v>
      </c>
      <c r="F35" s="71">
        <v>0.0</v>
      </c>
      <c r="G35" s="72">
        <v>0.0</v>
      </c>
      <c r="H35" s="68">
        <f t="shared" si="15"/>
        <v>0</v>
      </c>
      <c r="I35" s="73">
        <f t="shared" ref="I35:J35" si="127">F35*55000*0.35/1000/0.55</f>
        <v>0</v>
      </c>
      <c r="J35" s="73">
        <f t="shared" si="127"/>
        <v>0</v>
      </c>
      <c r="K35" s="68">
        <f t="shared" si="17"/>
        <v>0</v>
      </c>
      <c r="L35" s="71">
        <v>0.0</v>
      </c>
      <c r="M35" s="71">
        <v>0.0</v>
      </c>
      <c r="N35" s="68">
        <f t="shared" si="3"/>
        <v>0</v>
      </c>
      <c r="O35" s="71">
        <v>0.0</v>
      </c>
      <c r="P35" s="71">
        <v>0.0</v>
      </c>
      <c r="Q35" s="68">
        <f t="shared" si="4"/>
        <v>0</v>
      </c>
      <c r="R35" s="71">
        <f t="shared" ref="R35:S35" si="128">L35-O35</f>
        <v>0</v>
      </c>
      <c r="S35" s="71">
        <f t="shared" si="128"/>
        <v>0</v>
      </c>
      <c r="T35" s="68">
        <f t="shared" si="6"/>
        <v>0</v>
      </c>
      <c r="U35" s="71">
        <f t="shared" ref="U35:V35" si="129">R35*0.55</f>
        <v>0</v>
      </c>
      <c r="V35" s="71">
        <f t="shared" si="129"/>
        <v>0</v>
      </c>
      <c r="W35" s="68">
        <f t="shared" si="8"/>
        <v>0</v>
      </c>
      <c r="X35" s="71">
        <v>0.0</v>
      </c>
      <c r="Y35" s="71">
        <v>0.0</v>
      </c>
      <c r="Z35" s="68">
        <f t="shared" si="9"/>
        <v>0</v>
      </c>
      <c r="AA35" s="71">
        <f t="shared" ref="AA35:AB35" si="130">X35*0.95</f>
        <v>0</v>
      </c>
      <c r="AB35" s="71">
        <f t="shared" si="130"/>
        <v>0</v>
      </c>
      <c r="AC35" s="68">
        <f t="shared" si="11"/>
        <v>0</v>
      </c>
      <c r="AD35" s="71">
        <v>0.0</v>
      </c>
      <c r="AE35" s="71">
        <v>0.0</v>
      </c>
      <c r="AF35" s="68">
        <f t="shared" si="12"/>
        <v>0</v>
      </c>
      <c r="AG35" s="71">
        <f t="shared" ref="AG35:AH35" si="131">AD35/1.05506</f>
        <v>0</v>
      </c>
      <c r="AH35" s="71">
        <f t="shared" si="131"/>
        <v>0</v>
      </c>
      <c r="AI35" s="68">
        <f t="shared" si="14"/>
        <v>0</v>
      </c>
    </row>
    <row r="36" ht="14.25" customHeight="1">
      <c r="B36" s="66">
        <v>45833.0</v>
      </c>
      <c r="C36" s="70"/>
      <c r="D36" s="70"/>
      <c r="E36" s="68">
        <f t="shared" si="1"/>
        <v>0</v>
      </c>
      <c r="F36" s="71">
        <v>0.0</v>
      </c>
      <c r="G36" s="72">
        <v>0.0</v>
      </c>
      <c r="H36" s="68">
        <f t="shared" si="15"/>
        <v>0</v>
      </c>
      <c r="I36" s="73">
        <f t="shared" ref="I36:J36" si="132">F36*55000*0.35/1000/0.55</f>
        <v>0</v>
      </c>
      <c r="J36" s="73">
        <f t="shared" si="132"/>
        <v>0</v>
      </c>
      <c r="K36" s="68">
        <f t="shared" si="17"/>
        <v>0</v>
      </c>
      <c r="L36" s="71">
        <v>0.0</v>
      </c>
      <c r="M36" s="71">
        <v>0.0</v>
      </c>
      <c r="N36" s="68">
        <f t="shared" si="3"/>
        <v>0</v>
      </c>
      <c r="O36" s="71">
        <v>0.0</v>
      </c>
      <c r="P36" s="71">
        <v>0.0</v>
      </c>
      <c r="Q36" s="68">
        <f t="shared" si="4"/>
        <v>0</v>
      </c>
      <c r="R36" s="71">
        <f t="shared" ref="R36:S36" si="133">L36-O36</f>
        <v>0</v>
      </c>
      <c r="S36" s="71">
        <f t="shared" si="133"/>
        <v>0</v>
      </c>
      <c r="T36" s="68">
        <f t="shared" si="6"/>
        <v>0</v>
      </c>
      <c r="U36" s="71">
        <f t="shared" ref="U36:V36" si="134">R36*0.55</f>
        <v>0</v>
      </c>
      <c r="V36" s="71">
        <f t="shared" si="134"/>
        <v>0</v>
      </c>
      <c r="W36" s="68">
        <f t="shared" si="8"/>
        <v>0</v>
      </c>
      <c r="X36" s="71">
        <v>0.0</v>
      </c>
      <c r="Y36" s="71">
        <v>0.0</v>
      </c>
      <c r="Z36" s="68">
        <f t="shared" si="9"/>
        <v>0</v>
      </c>
      <c r="AA36" s="71">
        <f t="shared" ref="AA36:AB36" si="135">X36*0.95</f>
        <v>0</v>
      </c>
      <c r="AB36" s="71">
        <f t="shared" si="135"/>
        <v>0</v>
      </c>
      <c r="AC36" s="68">
        <f t="shared" si="11"/>
        <v>0</v>
      </c>
      <c r="AD36" s="71">
        <v>0.0</v>
      </c>
      <c r="AE36" s="71">
        <v>0.0</v>
      </c>
      <c r="AF36" s="68">
        <f t="shared" si="12"/>
        <v>0</v>
      </c>
      <c r="AG36" s="71">
        <f t="shared" ref="AG36:AH36" si="136">AD36/1.05506</f>
        <v>0</v>
      </c>
      <c r="AH36" s="71">
        <f t="shared" si="136"/>
        <v>0</v>
      </c>
      <c r="AI36" s="68">
        <f t="shared" si="14"/>
        <v>0</v>
      </c>
    </row>
    <row r="37" ht="14.25" customHeight="1">
      <c r="B37" s="66">
        <v>45834.0</v>
      </c>
      <c r="C37" s="70"/>
      <c r="D37" s="70"/>
      <c r="E37" s="68">
        <f t="shared" si="1"/>
        <v>0</v>
      </c>
      <c r="F37" s="71">
        <v>0.0</v>
      </c>
      <c r="G37" s="72">
        <v>0.0</v>
      </c>
      <c r="H37" s="68">
        <f t="shared" si="15"/>
        <v>0</v>
      </c>
      <c r="I37" s="73">
        <f t="shared" ref="I37:J37" si="137">F37*55000*0.35/1000/0.55</f>
        <v>0</v>
      </c>
      <c r="J37" s="73">
        <f t="shared" si="137"/>
        <v>0</v>
      </c>
      <c r="K37" s="68">
        <f t="shared" si="17"/>
        <v>0</v>
      </c>
      <c r="L37" s="71">
        <v>0.0</v>
      </c>
      <c r="M37" s="71">
        <v>0.0</v>
      </c>
      <c r="N37" s="68">
        <f t="shared" si="3"/>
        <v>0</v>
      </c>
      <c r="O37" s="71">
        <v>0.0</v>
      </c>
      <c r="P37" s="71">
        <v>0.0</v>
      </c>
      <c r="Q37" s="68">
        <f t="shared" si="4"/>
        <v>0</v>
      </c>
      <c r="R37" s="71">
        <f t="shared" ref="R37:S37" si="138">L37-O37</f>
        <v>0</v>
      </c>
      <c r="S37" s="71">
        <f t="shared" si="138"/>
        <v>0</v>
      </c>
      <c r="T37" s="68">
        <f t="shared" si="6"/>
        <v>0</v>
      </c>
      <c r="U37" s="71">
        <f t="shared" ref="U37:V37" si="139">R37*0.55</f>
        <v>0</v>
      </c>
      <c r="V37" s="71">
        <f t="shared" si="139"/>
        <v>0</v>
      </c>
      <c r="W37" s="68">
        <f t="shared" si="8"/>
        <v>0</v>
      </c>
      <c r="X37" s="71">
        <v>0.0</v>
      </c>
      <c r="Y37" s="71">
        <v>0.0</v>
      </c>
      <c r="Z37" s="68">
        <f t="shared" si="9"/>
        <v>0</v>
      </c>
      <c r="AA37" s="71">
        <f t="shared" ref="AA37:AB37" si="140">X37*0.95</f>
        <v>0</v>
      </c>
      <c r="AB37" s="71">
        <f t="shared" si="140"/>
        <v>0</v>
      </c>
      <c r="AC37" s="68">
        <f t="shared" si="11"/>
        <v>0</v>
      </c>
      <c r="AD37" s="71">
        <v>0.0</v>
      </c>
      <c r="AE37" s="71">
        <v>0.0</v>
      </c>
      <c r="AF37" s="68">
        <f t="shared" si="12"/>
        <v>0</v>
      </c>
      <c r="AG37" s="71">
        <f t="shared" ref="AG37:AH37" si="141">AD37/1.05506</f>
        <v>0</v>
      </c>
      <c r="AH37" s="71">
        <f t="shared" si="141"/>
        <v>0</v>
      </c>
      <c r="AI37" s="68">
        <f t="shared" si="14"/>
        <v>0</v>
      </c>
    </row>
    <row r="38" ht="14.25" customHeight="1">
      <c r="B38" s="66">
        <v>45835.0</v>
      </c>
      <c r="C38" s="70"/>
      <c r="D38" s="70"/>
      <c r="E38" s="68">
        <f t="shared" si="1"/>
        <v>0</v>
      </c>
      <c r="F38" s="71">
        <v>0.0</v>
      </c>
      <c r="G38" s="72">
        <v>0.0</v>
      </c>
      <c r="H38" s="68">
        <f t="shared" si="15"/>
        <v>0</v>
      </c>
      <c r="I38" s="73">
        <f t="shared" ref="I38:J38" si="142">F38*55000*0.35/1000/0.55</f>
        <v>0</v>
      </c>
      <c r="J38" s="73">
        <f t="shared" si="142"/>
        <v>0</v>
      </c>
      <c r="K38" s="68">
        <f t="shared" si="17"/>
        <v>0</v>
      </c>
      <c r="L38" s="71">
        <v>0.0</v>
      </c>
      <c r="M38" s="71">
        <v>0.0</v>
      </c>
      <c r="N38" s="68">
        <f t="shared" si="3"/>
        <v>0</v>
      </c>
      <c r="O38" s="71">
        <v>0.0</v>
      </c>
      <c r="P38" s="71">
        <v>0.0</v>
      </c>
      <c r="Q38" s="68">
        <f t="shared" si="4"/>
        <v>0</v>
      </c>
      <c r="R38" s="71">
        <f t="shared" ref="R38:S38" si="143">L38-O38</f>
        <v>0</v>
      </c>
      <c r="S38" s="71">
        <f t="shared" si="143"/>
        <v>0</v>
      </c>
      <c r="T38" s="68">
        <f t="shared" si="6"/>
        <v>0</v>
      </c>
      <c r="U38" s="71">
        <f t="shared" ref="U38:V38" si="144">R38*0.55</f>
        <v>0</v>
      </c>
      <c r="V38" s="71">
        <f t="shared" si="144"/>
        <v>0</v>
      </c>
      <c r="W38" s="68">
        <f t="shared" si="8"/>
        <v>0</v>
      </c>
      <c r="X38" s="71">
        <v>0.0</v>
      </c>
      <c r="Y38" s="71">
        <v>0.0</v>
      </c>
      <c r="Z38" s="68">
        <f t="shared" si="9"/>
        <v>0</v>
      </c>
      <c r="AA38" s="71">
        <f t="shared" ref="AA38:AB38" si="145">X38*0.95</f>
        <v>0</v>
      </c>
      <c r="AB38" s="71">
        <f t="shared" si="145"/>
        <v>0</v>
      </c>
      <c r="AC38" s="68">
        <f t="shared" si="11"/>
        <v>0</v>
      </c>
      <c r="AD38" s="71">
        <v>0.0</v>
      </c>
      <c r="AE38" s="71">
        <v>0.0</v>
      </c>
      <c r="AF38" s="68">
        <f t="shared" si="12"/>
        <v>0</v>
      </c>
      <c r="AG38" s="71">
        <f t="shared" ref="AG38:AH38" si="146">AD38/1.05506</f>
        <v>0</v>
      </c>
      <c r="AH38" s="71">
        <f t="shared" si="146"/>
        <v>0</v>
      </c>
      <c r="AI38" s="68">
        <f t="shared" si="14"/>
        <v>0</v>
      </c>
    </row>
    <row r="39" ht="14.25" customHeight="1">
      <c r="B39" s="66">
        <v>45836.0</v>
      </c>
      <c r="C39" s="70"/>
      <c r="D39" s="70"/>
      <c r="E39" s="68">
        <f t="shared" si="1"/>
        <v>0</v>
      </c>
      <c r="F39" s="71">
        <v>0.0</v>
      </c>
      <c r="G39" s="72">
        <v>0.0</v>
      </c>
      <c r="H39" s="68">
        <f t="shared" si="15"/>
        <v>0</v>
      </c>
      <c r="I39" s="73">
        <f t="shared" ref="I39:J39" si="147">F39*55000*0.35/1000/0.55</f>
        <v>0</v>
      </c>
      <c r="J39" s="73">
        <f t="shared" si="147"/>
        <v>0</v>
      </c>
      <c r="K39" s="68">
        <f t="shared" si="17"/>
        <v>0</v>
      </c>
      <c r="L39" s="71">
        <v>0.0</v>
      </c>
      <c r="M39" s="71">
        <v>0.0</v>
      </c>
      <c r="N39" s="68">
        <f t="shared" si="3"/>
        <v>0</v>
      </c>
      <c r="O39" s="71">
        <v>0.0</v>
      </c>
      <c r="P39" s="71">
        <v>0.0</v>
      </c>
      <c r="Q39" s="68">
        <f t="shared" si="4"/>
        <v>0</v>
      </c>
      <c r="R39" s="71">
        <f t="shared" ref="R39:S39" si="148">L39-O39</f>
        <v>0</v>
      </c>
      <c r="S39" s="71">
        <f t="shared" si="148"/>
        <v>0</v>
      </c>
      <c r="T39" s="68">
        <f t="shared" si="6"/>
        <v>0</v>
      </c>
      <c r="U39" s="71">
        <f t="shared" ref="U39:V39" si="149">R39*0.55</f>
        <v>0</v>
      </c>
      <c r="V39" s="71">
        <f t="shared" si="149"/>
        <v>0</v>
      </c>
      <c r="W39" s="68">
        <f t="shared" si="8"/>
        <v>0</v>
      </c>
      <c r="X39" s="71">
        <v>0.0</v>
      </c>
      <c r="Y39" s="71">
        <v>0.0</v>
      </c>
      <c r="Z39" s="68">
        <f t="shared" si="9"/>
        <v>0</v>
      </c>
      <c r="AA39" s="71">
        <f t="shared" ref="AA39:AB39" si="150">X39*0.95</f>
        <v>0</v>
      </c>
      <c r="AB39" s="71">
        <f t="shared" si="150"/>
        <v>0</v>
      </c>
      <c r="AC39" s="68">
        <f t="shared" si="11"/>
        <v>0</v>
      </c>
      <c r="AD39" s="71">
        <v>0.0</v>
      </c>
      <c r="AE39" s="71">
        <v>0.0</v>
      </c>
      <c r="AF39" s="68">
        <f t="shared" si="12"/>
        <v>0</v>
      </c>
      <c r="AG39" s="71">
        <f t="shared" ref="AG39:AH39" si="151">AD39/1.05506</f>
        <v>0</v>
      </c>
      <c r="AH39" s="71">
        <f t="shared" si="151"/>
        <v>0</v>
      </c>
      <c r="AI39" s="68">
        <f t="shared" si="14"/>
        <v>0</v>
      </c>
    </row>
    <row r="40" ht="14.25" customHeight="1">
      <c r="B40" s="66">
        <v>45837.0</v>
      </c>
      <c r="C40" s="70"/>
      <c r="D40" s="70"/>
      <c r="E40" s="68">
        <f t="shared" si="1"/>
        <v>0</v>
      </c>
      <c r="F40" s="71">
        <v>0.0</v>
      </c>
      <c r="G40" s="72">
        <v>0.0</v>
      </c>
      <c r="H40" s="68">
        <f t="shared" si="15"/>
        <v>0</v>
      </c>
      <c r="I40" s="73">
        <f t="shared" ref="I40:J40" si="152">F40*55000*0.35/1000/0.55</f>
        <v>0</v>
      </c>
      <c r="J40" s="73">
        <f t="shared" si="152"/>
        <v>0</v>
      </c>
      <c r="K40" s="68">
        <f t="shared" si="17"/>
        <v>0</v>
      </c>
      <c r="L40" s="71">
        <v>0.0</v>
      </c>
      <c r="M40" s="71">
        <v>0.0</v>
      </c>
      <c r="N40" s="68">
        <f t="shared" si="3"/>
        <v>0</v>
      </c>
      <c r="O40" s="71">
        <v>0.0</v>
      </c>
      <c r="P40" s="71">
        <v>0.0</v>
      </c>
      <c r="Q40" s="68">
        <f t="shared" si="4"/>
        <v>0</v>
      </c>
      <c r="R40" s="71">
        <f t="shared" ref="R40:S40" si="153">L40-O40</f>
        <v>0</v>
      </c>
      <c r="S40" s="71">
        <f t="shared" si="153"/>
        <v>0</v>
      </c>
      <c r="T40" s="68">
        <f t="shared" si="6"/>
        <v>0</v>
      </c>
      <c r="U40" s="71">
        <f t="shared" ref="U40:V40" si="154">R40*0.55</f>
        <v>0</v>
      </c>
      <c r="V40" s="71">
        <f t="shared" si="154"/>
        <v>0</v>
      </c>
      <c r="W40" s="68">
        <f t="shared" si="8"/>
        <v>0</v>
      </c>
      <c r="X40" s="71">
        <v>0.0</v>
      </c>
      <c r="Y40" s="71">
        <v>0.0</v>
      </c>
      <c r="Z40" s="68">
        <f t="shared" si="9"/>
        <v>0</v>
      </c>
      <c r="AA40" s="71">
        <f t="shared" ref="AA40:AB40" si="155">X40*0.95</f>
        <v>0</v>
      </c>
      <c r="AB40" s="71">
        <f t="shared" si="155"/>
        <v>0</v>
      </c>
      <c r="AC40" s="68">
        <f t="shared" si="11"/>
        <v>0</v>
      </c>
      <c r="AD40" s="71">
        <v>0.0</v>
      </c>
      <c r="AE40" s="71">
        <v>0.0</v>
      </c>
      <c r="AF40" s="68">
        <f t="shared" si="12"/>
        <v>0</v>
      </c>
      <c r="AG40" s="71">
        <f t="shared" ref="AG40:AH40" si="156">AD40/1.05506</f>
        <v>0</v>
      </c>
      <c r="AH40" s="71">
        <f t="shared" si="156"/>
        <v>0</v>
      </c>
      <c r="AI40" s="68">
        <f t="shared" si="14"/>
        <v>0</v>
      </c>
    </row>
    <row r="41" ht="14.25" customHeight="1">
      <c r="B41" s="69">
        <v>45473.0</v>
      </c>
      <c r="C41" s="70"/>
      <c r="D41" s="70"/>
      <c r="E41" s="68">
        <f t="shared" si="1"/>
        <v>0</v>
      </c>
      <c r="F41" s="71">
        <v>0.0</v>
      </c>
      <c r="G41" s="72">
        <v>0.0</v>
      </c>
      <c r="H41" s="68">
        <f t="shared" si="15"/>
        <v>0</v>
      </c>
      <c r="I41" s="73">
        <f t="shared" ref="I41:J41" si="157">F41*55000*0.35/1000/0.55</f>
        <v>0</v>
      </c>
      <c r="J41" s="73">
        <f t="shared" si="157"/>
        <v>0</v>
      </c>
      <c r="K41" s="68">
        <f t="shared" si="17"/>
        <v>0</v>
      </c>
      <c r="L41" s="71">
        <v>0.0</v>
      </c>
      <c r="M41" s="71">
        <v>0.0</v>
      </c>
      <c r="N41" s="68">
        <f t="shared" si="3"/>
        <v>0</v>
      </c>
      <c r="O41" s="71">
        <v>0.0</v>
      </c>
      <c r="P41" s="71">
        <v>0.0</v>
      </c>
      <c r="Q41" s="68">
        <f t="shared" si="4"/>
        <v>0</v>
      </c>
      <c r="R41" s="71">
        <f t="shared" ref="R41:S41" si="158">L41-O41</f>
        <v>0</v>
      </c>
      <c r="S41" s="71">
        <f t="shared" si="158"/>
        <v>0</v>
      </c>
      <c r="T41" s="68">
        <f t="shared" si="6"/>
        <v>0</v>
      </c>
      <c r="U41" s="71">
        <f t="shared" ref="U41:V41" si="159">R41*0.55</f>
        <v>0</v>
      </c>
      <c r="V41" s="71">
        <f t="shared" si="159"/>
        <v>0</v>
      </c>
      <c r="W41" s="68">
        <f t="shared" si="8"/>
        <v>0</v>
      </c>
      <c r="X41" s="71">
        <v>0.0</v>
      </c>
      <c r="Y41" s="71">
        <v>0.0</v>
      </c>
      <c r="Z41" s="68">
        <f t="shared" si="9"/>
        <v>0</v>
      </c>
      <c r="AA41" s="71">
        <f t="shared" ref="AA41:AB41" si="160">X41*0.95</f>
        <v>0</v>
      </c>
      <c r="AB41" s="71">
        <f t="shared" si="160"/>
        <v>0</v>
      </c>
      <c r="AC41" s="68">
        <f t="shared" si="11"/>
        <v>0</v>
      </c>
      <c r="AD41" s="71">
        <v>0.0</v>
      </c>
      <c r="AE41" s="71">
        <v>0.0</v>
      </c>
      <c r="AF41" s="68">
        <f t="shared" si="12"/>
        <v>0</v>
      </c>
      <c r="AG41" s="71">
        <f t="shared" ref="AG41:AH41" si="161">AD41/1.05506</f>
        <v>0</v>
      </c>
      <c r="AH41" s="71">
        <f t="shared" si="161"/>
        <v>0</v>
      </c>
      <c r="AI41" s="68">
        <f t="shared" si="14"/>
        <v>0</v>
      </c>
    </row>
    <row r="42" ht="15.0" customHeight="1">
      <c r="B42" s="76" t="s">
        <v>49</v>
      </c>
      <c r="C42" s="77"/>
      <c r="D42" s="77"/>
      <c r="E42" s="77"/>
      <c r="F42" s="77">
        <f t="shared" ref="F42:AI42" si="162">SUM(F12:F41)</f>
        <v>0</v>
      </c>
      <c r="G42" s="77">
        <f t="shared" si="162"/>
        <v>0</v>
      </c>
      <c r="H42" s="77">
        <f t="shared" si="162"/>
        <v>0</v>
      </c>
      <c r="I42" s="77">
        <f t="shared" si="162"/>
        <v>0</v>
      </c>
      <c r="J42" s="77">
        <f t="shared" si="162"/>
        <v>0</v>
      </c>
      <c r="K42" s="77">
        <f t="shared" si="162"/>
        <v>0</v>
      </c>
      <c r="L42" s="77">
        <f t="shared" si="162"/>
        <v>0</v>
      </c>
      <c r="M42" s="77">
        <f t="shared" si="162"/>
        <v>0</v>
      </c>
      <c r="N42" s="77">
        <f t="shared" si="162"/>
        <v>0</v>
      </c>
      <c r="O42" s="77">
        <f t="shared" si="162"/>
        <v>0</v>
      </c>
      <c r="P42" s="77">
        <f t="shared" si="162"/>
        <v>0</v>
      </c>
      <c r="Q42" s="77">
        <f t="shared" si="162"/>
        <v>0</v>
      </c>
      <c r="R42" s="77">
        <f t="shared" si="162"/>
        <v>0</v>
      </c>
      <c r="S42" s="77">
        <f t="shared" si="162"/>
        <v>0</v>
      </c>
      <c r="T42" s="77">
        <f t="shared" si="162"/>
        <v>0</v>
      </c>
      <c r="U42" s="77">
        <f t="shared" si="162"/>
        <v>0</v>
      </c>
      <c r="V42" s="77">
        <f t="shared" si="162"/>
        <v>0</v>
      </c>
      <c r="W42" s="77">
        <f t="shared" si="162"/>
        <v>0</v>
      </c>
      <c r="X42" s="77">
        <f t="shared" si="162"/>
        <v>0</v>
      </c>
      <c r="Y42" s="77">
        <f t="shared" si="162"/>
        <v>0</v>
      </c>
      <c r="Z42" s="77">
        <f t="shared" si="162"/>
        <v>0</v>
      </c>
      <c r="AA42" s="77">
        <f t="shared" si="162"/>
        <v>0</v>
      </c>
      <c r="AB42" s="77">
        <f t="shared" si="162"/>
        <v>0</v>
      </c>
      <c r="AC42" s="77">
        <f t="shared" si="162"/>
        <v>0</v>
      </c>
      <c r="AD42" s="77">
        <f t="shared" si="162"/>
        <v>0</v>
      </c>
      <c r="AE42" s="77">
        <f t="shared" si="162"/>
        <v>0</v>
      </c>
      <c r="AF42" s="77">
        <f t="shared" si="162"/>
        <v>0</v>
      </c>
      <c r="AG42" s="77">
        <f t="shared" si="162"/>
        <v>0</v>
      </c>
      <c r="AH42" s="77">
        <f t="shared" si="162"/>
        <v>0</v>
      </c>
      <c r="AI42" s="77">
        <f t="shared" si="162"/>
        <v>0</v>
      </c>
      <c r="AK42" s="75" t="str">
        <f>AC42/W42*100</f>
        <v>#DIV/0!</v>
      </c>
    </row>
    <row r="43" ht="14.25" customHeight="1"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</row>
    <row r="46" ht="18.0" customHeight="1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ht="14.25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ht="18.0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</row>
    <row r="50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</row>
    <row r="51" ht="14.25" customHeight="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</row>
    <row r="53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</row>
    <row r="54" ht="14.25" customHeight="1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</row>
    <row r="58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</row>
    <row r="59" ht="14.25" customHeight="1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</row>
    <row r="60" ht="14.25" customHeight="1"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</row>
    <row r="61" ht="14.25" customHeight="1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</row>
    <row r="62" ht="14.25" customHeight="1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</row>
    <row r="67" ht="14.25" customHeight="1">
      <c r="B67" s="54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</row>
    <row r="69" ht="14.25" customHeight="1">
      <c r="B69" s="53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</row>
    <row r="70" ht="14.25" customHeight="1">
      <c r="B70" s="53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 ht="14.25" customHeight="1"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</row>
  </sheetData>
  <mergeCells count="13">
    <mergeCell ref="U5:W9"/>
    <mergeCell ref="X5:Z9"/>
    <mergeCell ref="AA5:AC9"/>
    <mergeCell ref="AD5:AF9"/>
    <mergeCell ref="AG5:AI9"/>
    <mergeCell ref="AJ5:AJ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5" width="12.0"/>
    <col customWidth="1" min="37" max="37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 t="s">
        <v>39</v>
      </c>
      <c r="AH2" s="57"/>
      <c r="AI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 t="s">
        <v>40</v>
      </c>
      <c r="AH3" s="57"/>
      <c r="AI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ht="15.0" customHeight="1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10</v>
      </c>
      <c r="V5" s="6"/>
      <c r="W5" s="7"/>
      <c r="X5" s="60" t="s">
        <v>46</v>
      </c>
      <c r="Y5" s="6"/>
      <c r="Z5" s="7"/>
      <c r="AA5" s="60" t="s">
        <v>11</v>
      </c>
      <c r="AB5" s="6"/>
      <c r="AC5" s="7"/>
      <c r="AD5" s="60" t="s">
        <v>47</v>
      </c>
      <c r="AE5" s="6"/>
      <c r="AF5" s="7"/>
      <c r="AG5" s="60" t="s">
        <v>12</v>
      </c>
      <c r="AH5" s="6"/>
      <c r="AI5" s="7"/>
      <c r="AJ5" s="62"/>
    </row>
    <row r="6" ht="15.0" customHeight="1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</row>
    <row r="7" ht="15.0" customHeight="1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</row>
    <row r="8" ht="15.0" customHeight="1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</row>
    <row r="11" ht="15.0" customHeight="1">
      <c r="B11" s="66">
        <v>45838.0</v>
      </c>
      <c r="C11" s="67">
        <v>0.0</v>
      </c>
      <c r="D11" s="67">
        <v>45868.0</v>
      </c>
      <c r="E11" s="68">
        <f t="shared" ref="E11:E42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6">SUM(R11+S11)</f>
        <v>0</v>
      </c>
      <c r="U11" s="68"/>
      <c r="V11" s="68"/>
      <c r="W11" s="68">
        <f t="shared" ref="W11:W42" si="8">SUM(U11+V11)</f>
        <v>0</v>
      </c>
      <c r="X11" s="68"/>
      <c r="Y11" s="68"/>
      <c r="Z11" s="68">
        <f t="shared" ref="Z11:Z42" si="9">SUM(X11+Y11)</f>
        <v>0</v>
      </c>
      <c r="AA11" s="68"/>
      <c r="AB11" s="68"/>
      <c r="AC11" s="68">
        <f t="shared" ref="AC11:AC42" si="11">SUM(AA11+AB11)</f>
        <v>0</v>
      </c>
      <c r="AD11" s="68"/>
      <c r="AE11" s="68"/>
      <c r="AF11" s="68">
        <f t="shared" ref="AF11:AF42" si="12">SUM(AD11+AE11)</f>
        <v>0</v>
      </c>
      <c r="AG11" s="68"/>
      <c r="AH11" s="68"/>
      <c r="AI11" s="68">
        <f t="shared" ref="AI11:AI42" si="14">SUM(AG11+AH11)</f>
        <v>0</v>
      </c>
    </row>
    <row r="12" ht="18.0" customHeight="1">
      <c r="B12" s="66">
        <v>45839.0</v>
      </c>
      <c r="C12" s="70"/>
      <c r="D12" s="70"/>
      <c r="E12" s="68">
        <f t="shared" si="1"/>
        <v>0</v>
      </c>
      <c r="F12" s="71">
        <v>0.0</v>
      </c>
      <c r="G12" s="71">
        <v>0.0</v>
      </c>
      <c r="H12" s="68">
        <f t="shared" ref="H12:H42" si="15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42" si="17">J12+I12</f>
        <v>0</v>
      </c>
      <c r="L12" s="71">
        <v>0.0</v>
      </c>
      <c r="M12" s="71">
        <v>0.0</v>
      </c>
      <c r="N12" s="68">
        <f t="shared" si="3"/>
        <v>0</v>
      </c>
      <c r="O12" s="71">
        <v>0.0</v>
      </c>
      <c r="P12" s="71">
        <v>0.0</v>
      </c>
      <c r="Q12" s="68">
        <f t="shared" si="4"/>
        <v>0</v>
      </c>
      <c r="R12" s="71">
        <f t="shared" ref="R12:S12" si="5">L12-O12</f>
        <v>0</v>
      </c>
      <c r="S12" s="71">
        <f t="shared" si="5"/>
        <v>0</v>
      </c>
      <c r="T12" s="68">
        <f t="shared" si="6"/>
        <v>0</v>
      </c>
      <c r="U12" s="71">
        <f t="shared" ref="U12:V12" si="7">R12*0.55</f>
        <v>0</v>
      </c>
      <c r="V12" s="71">
        <f t="shared" si="7"/>
        <v>0</v>
      </c>
      <c r="W12" s="68">
        <f t="shared" si="8"/>
        <v>0</v>
      </c>
      <c r="X12" s="71">
        <v>0.0</v>
      </c>
      <c r="Y12" s="71">
        <v>0.0</v>
      </c>
      <c r="Z12" s="68">
        <f t="shared" si="9"/>
        <v>0</v>
      </c>
      <c r="AA12" s="71">
        <f t="shared" ref="AA12:AB12" si="10">X12*0.95</f>
        <v>0</v>
      </c>
      <c r="AB12" s="71">
        <f t="shared" si="10"/>
        <v>0</v>
      </c>
      <c r="AC12" s="68">
        <f t="shared" si="11"/>
        <v>0</v>
      </c>
      <c r="AD12" s="71">
        <v>0.0</v>
      </c>
      <c r="AE12" s="71">
        <v>0.0</v>
      </c>
      <c r="AF12" s="68">
        <f t="shared" si="12"/>
        <v>0</v>
      </c>
      <c r="AG12" s="71">
        <f t="shared" ref="AG12:AH12" si="13">AD12/1.05506</f>
        <v>0</v>
      </c>
      <c r="AH12" s="71">
        <f t="shared" si="13"/>
        <v>0</v>
      </c>
      <c r="AI12" s="68">
        <f t="shared" si="14"/>
        <v>0</v>
      </c>
    </row>
    <row r="13" ht="14.25" customHeight="1">
      <c r="B13" s="66">
        <v>45840.0</v>
      </c>
      <c r="C13" s="70"/>
      <c r="D13" s="70"/>
      <c r="E13" s="68">
        <f t="shared" si="1"/>
        <v>0</v>
      </c>
      <c r="F13" s="71">
        <v>0.0</v>
      </c>
      <c r="G13" s="71">
        <v>0.0</v>
      </c>
      <c r="H13" s="68">
        <f t="shared" si="15"/>
        <v>0</v>
      </c>
      <c r="I13" s="73">
        <f t="shared" ref="I13:J13" si="16">F13*55000*0.35/1000/0.55</f>
        <v>0</v>
      </c>
      <c r="J13" s="73">
        <f t="shared" si="16"/>
        <v>0</v>
      </c>
      <c r="K13" s="68">
        <f t="shared" si="17"/>
        <v>0</v>
      </c>
      <c r="L13" s="71">
        <v>0.0</v>
      </c>
      <c r="M13" s="71">
        <v>0.0</v>
      </c>
      <c r="N13" s="68">
        <f t="shared" si="3"/>
        <v>0</v>
      </c>
      <c r="O13" s="71">
        <v>0.0</v>
      </c>
      <c r="P13" s="71">
        <v>0.0</v>
      </c>
      <c r="Q13" s="68">
        <f t="shared" si="4"/>
        <v>0</v>
      </c>
      <c r="R13" s="71">
        <f t="shared" ref="R13:S13" si="18">L13-O13</f>
        <v>0</v>
      </c>
      <c r="S13" s="71">
        <f t="shared" si="18"/>
        <v>0</v>
      </c>
      <c r="T13" s="68">
        <f t="shared" si="6"/>
        <v>0</v>
      </c>
      <c r="U13" s="71">
        <f t="shared" ref="U13:V13" si="19">R13*0.55</f>
        <v>0</v>
      </c>
      <c r="V13" s="71">
        <f t="shared" si="19"/>
        <v>0</v>
      </c>
      <c r="W13" s="68">
        <f t="shared" si="8"/>
        <v>0</v>
      </c>
      <c r="X13" s="71">
        <v>0.0</v>
      </c>
      <c r="Y13" s="71">
        <v>0.0</v>
      </c>
      <c r="Z13" s="68">
        <f t="shared" si="9"/>
        <v>0</v>
      </c>
      <c r="AA13" s="71">
        <f t="shared" ref="AA13:AB13" si="20">X13*0.95</f>
        <v>0</v>
      </c>
      <c r="AB13" s="71">
        <f t="shared" si="20"/>
        <v>0</v>
      </c>
      <c r="AC13" s="68">
        <f t="shared" si="11"/>
        <v>0</v>
      </c>
      <c r="AD13" s="71">
        <v>0.0</v>
      </c>
      <c r="AE13" s="71">
        <v>0.0</v>
      </c>
      <c r="AF13" s="68">
        <f t="shared" si="12"/>
        <v>0</v>
      </c>
      <c r="AG13" s="71">
        <f t="shared" ref="AG13:AH13" si="21">AD13/1.05506</f>
        <v>0</v>
      </c>
      <c r="AH13" s="71">
        <f t="shared" si="21"/>
        <v>0</v>
      </c>
      <c r="AI13" s="68">
        <f t="shared" si="14"/>
        <v>0</v>
      </c>
    </row>
    <row r="14" ht="14.25" customHeight="1">
      <c r="B14" s="66">
        <v>45841.0</v>
      </c>
      <c r="C14" s="70"/>
      <c r="D14" s="70"/>
      <c r="E14" s="68">
        <f t="shared" si="1"/>
        <v>0</v>
      </c>
      <c r="F14" s="71">
        <v>0.0</v>
      </c>
      <c r="G14" s="71">
        <v>0.0</v>
      </c>
      <c r="H14" s="68">
        <f t="shared" si="15"/>
        <v>0</v>
      </c>
      <c r="I14" s="73">
        <f t="shared" ref="I14:J14" si="22">F14*55000*0.35/1000/0.55</f>
        <v>0</v>
      </c>
      <c r="J14" s="73">
        <f t="shared" si="22"/>
        <v>0</v>
      </c>
      <c r="K14" s="68">
        <f t="shared" si="17"/>
        <v>0</v>
      </c>
      <c r="L14" s="71">
        <v>0.0</v>
      </c>
      <c r="M14" s="71">
        <v>0.0</v>
      </c>
      <c r="N14" s="68">
        <f t="shared" si="3"/>
        <v>0</v>
      </c>
      <c r="O14" s="71">
        <v>0.0</v>
      </c>
      <c r="P14" s="71">
        <v>0.0</v>
      </c>
      <c r="Q14" s="68">
        <f t="shared" si="4"/>
        <v>0</v>
      </c>
      <c r="R14" s="71">
        <f t="shared" ref="R14:S14" si="23">L14-O14</f>
        <v>0</v>
      </c>
      <c r="S14" s="71">
        <f t="shared" si="23"/>
        <v>0</v>
      </c>
      <c r="T14" s="68">
        <f t="shared" si="6"/>
        <v>0</v>
      </c>
      <c r="U14" s="71">
        <f t="shared" ref="U14:V14" si="24">R14*0.55</f>
        <v>0</v>
      </c>
      <c r="V14" s="71">
        <f t="shared" si="24"/>
        <v>0</v>
      </c>
      <c r="W14" s="68">
        <f t="shared" si="8"/>
        <v>0</v>
      </c>
      <c r="X14" s="71">
        <v>0.0</v>
      </c>
      <c r="Y14" s="71">
        <v>0.0</v>
      </c>
      <c r="Z14" s="68">
        <f t="shared" si="9"/>
        <v>0</v>
      </c>
      <c r="AA14" s="71">
        <f t="shared" ref="AA14:AB14" si="25">X14*0.95</f>
        <v>0</v>
      </c>
      <c r="AB14" s="71">
        <f t="shared" si="25"/>
        <v>0</v>
      </c>
      <c r="AC14" s="68">
        <f t="shared" si="11"/>
        <v>0</v>
      </c>
      <c r="AD14" s="71">
        <v>0.0</v>
      </c>
      <c r="AE14" s="71">
        <v>0.0</v>
      </c>
      <c r="AF14" s="68">
        <f t="shared" si="12"/>
        <v>0</v>
      </c>
      <c r="AG14" s="71">
        <f t="shared" ref="AG14:AH14" si="26">AD14/1.05506</f>
        <v>0</v>
      </c>
      <c r="AH14" s="71">
        <f t="shared" si="26"/>
        <v>0</v>
      </c>
      <c r="AI14" s="68">
        <f t="shared" si="14"/>
        <v>0</v>
      </c>
    </row>
    <row r="15" ht="14.25" customHeight="1">
      <c r="B15" s="66">
        <v>45842.0</v>
      </c>
      <c r="C15" s="70"/>
      <c r="D15" s="70"/>
      <c r="E15" s="68">
        <f t="shared" si="1"/>
        <v>0</v>
      </c>
      <c r="F15" s="71">
        <v>0.0</v>
      </c>
      <c r="G15" s="71">
        <v>0.0</v>
      </c>
      <c r="H15" s="68">
        <f t="shared" si="15"/>
        <v>0</v>
      </c>
      <c r="I15" s="73">
        <f t="shared" ref="I15:J15" si="27">F15*55000*0.35/1000/0.55</f>
        <v>0</v>
      </c>
      <c r="J15" s="73">
        <f t="shared" si="27"/>
        <v>0</v>
      </c>
      <c r="K15" s="68">
        <f t="shared" si="17"/>
        <v>0</v>
      </c>
      <c r="L15" s="71">
        <v>0.0</v>
      </c>
      <c r="M15" s="71">
        <v>0.0</v>
      </c>
      <c r="N15" s="68">
        <f t="shared" si="3"/>
        <v>0</v>
      </c>
      <c r="O15" s="71">
        <v>0.0</v>
      </c>
      <c r="P15" s="71">
        <v>0.0</v>
      </c>
      <c r="Q15" s="68">
        <f t="shared" si="4"/>
        <v>0</v>
      </c>
      <c r="R15" s="71">
        <f t="shared" ref="R15:S15" si="28">L15-O15</f>
        <v>0</v>
      </c>
      <c r="S15" s="71">
        <f t="shared" si="28"/>
        <v>0</v>
      </c>
      <c r="T15" s="68">
        <f t="shared" si="6"/>
        <v>0</v>
      </c>
      <c r="U15" s="71">
        <f t="shared" ref="U15:V15" si="29">R15*0.55</f>
        <v>0</v>
      </c>
      <c r="V15" s="71">
        <f t="shared" si="29"/>
        <v>0</v>
      </c>
      <c r="W15" s="68">
        <f t="shared" si="8"/>
        <v>0</v>
      </c>
      <c r="X15" s="71">
        <v>0.0</v>
      </c>
      <c r="Y15" s="71">
        <v>0.0</v>
      </c>
      <c r="Z15" s="68">
        <f t="shared" si="9"/>
        <v>0</v>
      </c>
      <c r="AA15" s="71">
        <f t="shared" ref="AA15:AB15" si="30">X15*0.95</f>
        <v>0</v>
      </c>
      <c r="AB15" s="71">
        <f t="shared" si="30"/>
        <v>0</v>
      </c>
      <c r="AC15" s="68">
        <f t="shared" si="11"/>
        <v>0</v>
      </c>
      <c r="AD15" s="71">
        <v>0.0</v>
      </c>
      <c r="AE15" s="71">
        <v>0.0</v>
      </c>
      <c r="AF15" s="68">
        <f t="shared" si="12"/>
        <v>0</v>
      </c>
      <c r="AG15" s="71">
        <f t="shared" ref="AG15:AH15" si="31">AD15/1.05506</f>
        <v>0</v>
      </c>
      <c r="AH15" s="71">
        <f t="shared" si="31"/>
        <v>0</v>
      </c>
      <c r="AI15" s="68">
        <f t="shared" si="14"/>
        <v>0</v>
      </c>
    </row>
    <row r="16" ht="14.25" customHeight="1">
      <c r="B16" s="66">
        <v>45843.0</v>
      </c>
      <c r="C16" s="70"/>
      <c r="D16" s="70"/>
      <c r="E16" s="68">
        <f t="shared" si="1"/>
        <v>0</v>
      </c>
      <c r="F16" s="71">
        <v>0.0</v>
      </c>
      <c r="G16" s="71">
        <v>0.0</v>
      </c>
      <c r="H16" s="68">
        <f t="shared" si="15"/>
        <v>0</v>
      </c>
      <c r="I16" s="73">
        <f t="shared" ref="I16:J16" si="32">F16*55000*0.35/1000/0.55</f>
        <v>0</v>
      </c>
      <c r="J16" s="73">
        <f t="shared" si="32"/>
        <v>0</v>
      </c>
      <c r="K16" s="68">
        <f t="shared" si="17"/>
        <v>0</v>
      </c>
      <c r="L16" s="71">
        <v>0.0</v>
      </c>
      <c r="M16" s="71">
        <v>0.0</v>
      </c>
      <c r="N16" s="68">
        <f t="shared" si="3"/>
        <v>0</v>
      </c>
      <c r="O16" s="71">
        <v>0.0</v>
      </c>
      <c r="P16" s="71">
        <v>0.0</v>
      </c>
      <c r="Q16" s="68">
        <f t="shared" si="4"/>
        <v>0</v>
      </c>
      <c r="R16" s="71">
        <f t="shared" ref="R16:S16" si="33">L16-O16</f>
        <v>0</v>
      </c>
      <c r="S16" s="71">
        <f t="shared" si="33"/>
        <v>0</v>
      </c>
      <c r="T16" s="68">
        <f t="shared" si="6"/>
        <v>0</v>
      </c>
      <c r="U16" s="71">
        <f t="shared" ref="U16:V16" si="34">R16*0.55</f>
        <v>0</v>
      </c>
      <c r="V16" s="71">
        <f t="shared" si="34"/>
        <v>0</v>
      </c>
      <c r="W16" s="68">
        <f t="shared" si="8"/>
        <v>0</v>
      </c>
      <c r="X16" s="71">
        <v>0.0</v>
      </c>
      <c r="Y16" s="71">
        <v>0.0</v>
      </c>
      <c r="Z16" s="68">
        <f t="shared" si="9"/>
        <v>0</v>
      </c>
      <c r="AA16" s="71">
        <f t="shared" ref="AA16:AB16" si="35">X16*0.95</f>
        <v>0</v>
      </c>
      <c r="AB16" s="71">
        <f t="shared" si="35"/>
        <v>0</v>
      </c>
      <c r="AC16" s="68">
        <f t="shared" si="11"/>
        <v>0</v>
      </c>
      <c r="AD16" s="71">
        <v>0.0</v>
      </c>
      <c r="AE16" s="71">
        <v>0.0</v>
      </c>
      <c r="AF16" s="68">
        <f t="shared" si="12"/>
        <v>0</v>
      </c>
      <c r="AG16" s="71">
        <f t="shared" ref="AG16:AH16" si="36">AD16/1.05506</f>
        <v>0</v>
      </c>
      <c r="AH16" s="71">
        <f t="shared" si="36"/>
        <v>0</v>
      </c>
      <c r="AI16" s="68">
        <f t="shared" si="14"/>
        <v>0</v>
      </c>
    </row>
    <row r="17" ht="14.25" customHeight="1">
      <c r="B17" s="66">
        <v>45844.0</v>
      </c>
      <c r="C17" s="70"/>
      <c r="D17" s="70"/>
      <c r="E17" s="68">
        <f t="shared" si="1"/>
        <v>0</v>
      </c>
      <c r="F17" s="71">
        <v>0.0</v>
      </c>
      <c r="G17" s="71">
        <v>0.0</v>
      </c>
      <c r="H17" s="68">
        <f t="shared" si="15"/>
        <v>0</v>
      </c>
      <c r="I17" s="73">
        <f t="shared" ref="I17:J17" si="37">F17*55000*0.35/1000/0.55</f>
        <v>0</v>
      </c>
      <c r="J17" s="73">
        <f t="shared" si="37"/>
        <v>0</v>
      </c>
      <c r="K17" s="68">
        <f t="shared" si="17"/>
        <v>0</v>
      </c>
      <c r="L17" s="71">
        <v>0.0</v>
      </c>
      <c r="M17" s="71">
        <v>0.0</v>
      </c>
      <c r="N17" s="68">
        <f t="shared" si="3"/>
        <v>0</v>
      </c>
      <c r="O17" s="71">
        <v>0.0</v>
      </c>
      <c r="P17" s="71">
        <v>0.0</v>
      </c>
      <c r="Q17" s="68">
        <f t="shared" si="4"/>
        <v>0</v>
      </c>
      <c r="R17" s="71">
        <f t="shared" ref="R17:S17" si="38">L17-O17</f>
        <v>0</v>
      </c>
      <c r="S17" s="71">
        <f t="shared" si="38"/>
        <v>0</v>
      </c>
      <c r="T17" s="68">
        <f t="shared" si="6"/>
        <v>0</v>
      </c>
      <c r="U17" s="71">
        <f t="shared" ref="U17:V17" si="39">R17*0.55</f>
        <v>0</v>
      </c>
      <c r="V17" s="71">
        <f t="shared" si="39"/>
        <v>0</v>
      </c>
      <c r="W17" s="68">
        <f t="shared" si="8"/>
        <v>0</v>
      </c>
      <c r="X17" s="71">
        <v>0.0</v>
      </c>
      <c r="Y17" s="71">
        <v>0.0</v>
      </c>
      <c r="Z17" s="68">
        <f t="shared" si="9"/>
        <v>0</v>
      </c>
      <c r="AA17" s="71">
        <f t="shared" ref="AA17:AB17" si="40">X17*0.95</f>
        <v>0</v>
      </c>
      <c r="AB17" s="71">
        <f t="shared" si="40"/>
        <v>0</v>
      </c>
      <c r="AC17" s="68">
        <f t="shared" si="11"/>
        <v>0</v>
      </c>
      <c r="AD17" s="71">
        <v>0.0</v>
      </c>
      <c r="AE17" s="71">
        <v>0.0</v>
      </c>
      <c r="AF17" s="68">
        <f t="shared" si="12"/>
        <v>0</v>
      </c>
      <c r="AG17" s="71">
        <f t="shared" ref="AG17:AH17" si="41">AD17/1.05506</f>
        <v>0</v>
      </c>
      <c r="AH17" s="71">
        <f t="shared" si="41"/>
        <v>0</v>
      </c>
      <c r="AI17" s="68">
        <f t="shared" si="14"/>
        <v>0</v>
      </c>
    </row>
    <row r="18" ht="14.25" customHeight="1">
      <c r="B18" s="66">
        <v>45845.0</v>
      </c>
      <c r="C18" s="70"/>
      <c r="D18" s="70"/>
      <c r="E18" s="68">
        <f t="shared" si="1"/>
        <v>0</v>
      </c>
      <c r="F18" s="71">
        <v>0.0</v>
      </c>
      <c r="G18" s="71">
        <v>0.0</v>
      </c>
      <c r="H18" s="68">
        <f t="shared" si="15"/>
        <v>0</v>
      </c>
      <c r="I18" s="73">
        <f t="shared" ref="I18:J18" si="42">F18*55000*0.35/1000/0.55</f>
        <v>0</v>
      </c>
      <c r="J18" s="73">
        <f t="shared" si="42"/>
        <v>0</v>
      </c>
      <c r="K18" s="68">
        <f t="shared" si="17"/>
        <v>0</v>
      </c>
      <c r="L18" s="71">
        <v>0.0</v>
      </c>
      <c r="M18" s="71">
        <v>0.0</v>
      </c>
      <c r="N18" s="68">
        <f t="shared" si="3"/>
        <v>0</v>
      </c>
      <c r="O18" s="71">
        <v>0.0</v>
      </c>
      <c r="P18" s="71">
        <v>0.0</v>
      </c>
      <c r="Q18" s="68">
        <f t="shared" si="4"/>
        <v>0</v>
      </c>
      <c r="R18" s="71">
        <f t="shared" ref="R18:S18" si="43">L18-O18</f>
        <v>0</v>
      </c>
      <c r="S18" s="71">
        <f t="shared" si="43"/>
        <v>0</v>
      </c>
      <c r="T18" s="68">
        <f t="shared" si="6"/>
        <v>0</v>
      </c>
      <c r="U18" s="71">
        <f t="shared" ref="U18:V18" si="44">R18*0.55</f>
        <v>0</v>
      </c>
      <c r="V18" s="71">
        <f t="shared" si="44"/>
        <v>0</v>
      </c>
      <c r="W18" s="68">
        <f t="shared" si="8"/>
        <v>0</v>
      </c>
      <c r="X18" s="71">
        <v>0.0</v>
      </c>
      <c r="Y18" s="71">
        <v>0.0</v>
      </c>
      <c r="Z18" s="68">
        <f t="shared" si="9"/>
        <v>0</v>
      </c>
      <c r="AA18" s="71">
        <f t="shared" ref="AA18:AB18" si="45">X18*0.95</f>
        <v>0</v>
      </c>
      <c r="AB18" s="71">
        <f t="shared" si="45"/>
        <v>0</v>
      </c>
      <c r="AC18" s="68">
        <f t="shared" si="11"/>
        <v>0</v>
      </c>
      <c r="AD18" s="71">
        <v>0.0</v>
      </c>
      <c r="AE18" s="71">
        <v>0.0</v>
      </c>
      <c r="AF18" s="68">
        <f t="shared" si="12"/>
        <v>0</v>
      </c>
      <c r="AG18" s="71">
        <f t="shared" ref="AG18:AH18" si="46">AD18/1.05506</f>
        <v>0</v>
      </c>
      <c r="AH18" s="71">
        <f t="shared" si="46"/>
        <v>0</v>
      </c>
      <c r="AI18" s="68">
        <f t="shared" si="14"/>
        <v>0</v>
      </c>
    </row>
    <row r="19" ht="14.25" customHeight="1">
      <c r="B19" s="66">
        <v>45846.0</v>
      </c>
      <c r="C19" s="70"/>
      <c r="D19" s="70"/>
      <c r="E19" s="68">
        <f t="shared" si="1"/>
        <v>0</v>
      </c>
      <c r="F19" s="71">
        <v>0.0</v>
      </c>
      <c r="G19" s="71">
        <v>0.0</v>
      </c>
      <c r="H19" s="68">
        <f t="shared" si="15"/>
        <v>0</v>
      </c>
      <c r="I19" s="73">
        <f t="shared" ref="I19:J19" si="47">F19*55000*0.35/1000/0.55</f>
        <v>0</v>
      </c>
      <c r="J19" s="73">
        <f t="shared" si="47"/>
        <v>0</v>
      </c>
      <c r="K19" s="68">
        <f t="shared" si="17"/>
        <v>0</v>
      </c>
      <c r="L19" s="71">
        <v>0.0</v>
      </c>
      <c r="M19" s="71">
        <v>0.0</v>
      </c>
      <c r="N19" s="68">
        <f t="shared" si="3"/>
        <v>0</v>
      </c>
      <c r="O19" s="71">
        <v>0.0</v>
      </c>
      <c r="P19" s="71">
        <v>0.0</v>
      </c>
      <c r="Q19" s="68">
        <f t="shared" si="4"/>
        <v>0</v>
      </c>
      <c r="R19" s="71">
        <f t="shared" ref="R19:S19" si="48">L19-O19</f>
        <v>0</v>
      </c>
      <c r="S19" s="71">
        <f t="shared" si="48"/>
        <v>0</v>
      </c>
      <c r="T19" s="68">
        <f t="shared" si="6"/>
        <v>0</v>
      </c>
      <c r="U19" s="71">
        <f t="shared" ref="U19:V19" si="49">R19*0.55</f>
        <v>0</v>
      </c>
      <c r="V19" s="71">
        <f t="shared" si="49"/>
        <v>0</v>
      </c>
      <c r="W19" s="68">
        <f t="shared" si="8"/>
        <v>0</v>
      </c>
      <c r="X19" s="71">
        <v>0.0</v>
      </c>
      <c r="Y19" s="71">
        <v>0.0</v>
      </c>
      <c r="Z19" s="68">
        <f t="shared" si="9"/>
        <v>0</v>
      </c>
      <c r="AA19" s="71">
        <f t="shared" ref="AA19:AB19" si="50">X19*0.95</f>
        <v>0</v>
      </c>
      <c r="AB19" s="71">
        <f t="shared" si="50"/>
        <v>0</v>
      </c>
      <c r="AC19" s="68">
        <f t="shared" si="11"/>
        <v>0</v>
      </c>
      <c r="AD19" s="71">
        <v>0.0</v>
      </c>
      <c r="AE19" s="71">
        <v>0.0</v>
      </c>
      <c r="AF19" s="68">
        <f t="shared" si="12"/>
        <v>0</v>
      </c>
      <c r="AG19" s="71">
        <f t="shared" ref="AG19:AH19" si="51">AD19/1.05506</f>
        <v>0</v>
      </c>
      <c r="AH19" s="71">
        <f t="shared" si="51"/>
        <v>0</v>
      </c>
      <c r="AI19" s="68">
        <f t="shared" si="14"/>
        <v>0</v>
      </c>
    </row>
    <row r="20" ht="14.25" customHeight="1">
      <c r="B20" s="66">
        <v>45847.0</v>
      </c>
      <c r="C20" s="70"/>
      <c r="D20" s="70"/>
      <c r="E20" s="68">
        <f t="shared" si="1"/>
        <v>0</v>
      </c>
      <c r="F20" s="71">
        <v>0.0</v>
      </c>
      <c r="G20" s="71">
        <v>0.0</v>
      </c>
      <c r="H20" s="68">
        <f t="shared" si="15"/>
        <v>0</v>
      </c>
      <c r="I20" s="73">
        <f t="shared" ref="I20:J20" si="52">F20*55000*0.35/1000/0.55</f>
        <v>0</v>
      </c>
      <c r="J20" s="73">
        <f t="shared" si="52"/>
        <v>0</v>
      </c>
      <c r="K20" s="68">
        <f t="shared" si="17"/>
        <v>0</v>
      </c>
      <c r="L20" s="71">
        <v>0.0</v>
      </c>
      <c r="M20" s="71">
        <v>0.0</v>
      </c>
      <c r="N20" s="68">
        <f t="shared" si="3"/>
        <v>0</v>
      </c>
      <c r="O20" s="71">
        <v>0.0</v>
      </c>
      <c r="P20" s="71">
        <v>0.0</v>
      </c>
      <c r="Q20" s="68">
        <f t="shared" si="4"/>
        <v>0</v>
      </c>
      <c r="R20" s="71">
        <f t="shared" ref="R20:S20" si="53">L20-O20</f>
        <v>0</v>
      </c>
      <c r="S20" s="71">
        <f t="shared" si="53"/>
        <v>0</v>
      </c>
      <c r="T20" s="68">
        <f t="shared" si="6"/>
        <v>0</v>
      </c>
      <c r="U20" s="71">
        <f t="shared" ref="U20:V20" si="54">R20*0.55</f>
        <v>0</v>
      </c>
      <c r="V20" s="71">
        <f t="shared" si="54"/>
        <v>0</v>
      </c>
      <c r="W20" s="68">
        <f t="shared" si="8"/>
        <v>0</v>
      </c>
      <c r="X20" s="71">
        <v>0.0</v>
      </c>
      <c r="Y20" s="71">
        <v>0.0</v>
      </c>
      <c r="Z20" s="68">
        <f t="shared" si="9"/>
        <v>0</v>
      </c>
      <c r="AA20" s="71">
        <f t="shared" ref="AA20:AB20" si="55">X20*0.95</f>
        <v>0</v>
      </c>
      <c r="AB20" s="71">
        <f t="shared" si="55"/>
        <v>0</v>
      </c>
      <c r="AC20" s="68">
        <f t="shared" si="11"/>
        <v>0</v>
      </c>
      <c r="AD20" s="71">
        <v>0.0</v>
      </c>
      <c r="AE20" s="71">
        <v>0.0</v>
      </c>
      <c r="AF20" s="68">
        <f t="shared" si="12"/>
        <v>0</v>
      </c>
      <c r="AG20" s="71">
        <f t="shared" ref="AG20:AH20" si="56">AD20/1.05506</f>
        <v>0</v>
      </c>
      <c r="AH20" s="71">
        <f t="shared" si="56"/>
        <v>0</v>
      </c>
      <c r="AI20" s="68">
        <f t="shared" si="14"/>
        <v>0</v>
      </c>
    </row>
    <row r="21" ht="14.25" customHeight="1">
      <c r="B21" s="66">
        <v>45848.0</v>
      </c>
      <c r="C21" s="70"/>
      <c r="D21" s="70"/>
      <c r="E21" s="68">
        <f t="shared" si="1"/>
        <v>0</v>
      </c>
      <c r="F21" s="71">
        <v>0.0</v>
      </c>
      <c r="G21" s="71">
        <v>0.0</v>
      </c>
      <c r="H21" s="68">
        <f t="shared" si="15"/>
        <v>0</v>
      </c>
      <c r="I21" s="73">
        <f t="shared" ref="I21:J21" si="57">F21*55000*0.35/1000/0.55</f>
        <v>0</v>
      </c>
      <c r="J21" s="73">
        <f t="shared" si="57"/>
        <v>0</v>
      </c>
      <c r="K21" s="68">
        <f t="shared" si="17"/>
        <v>0</v>
      </c>
      <c r="L21" s="71">
        <v>0.0</v>
      </c>
      <c r="M21" s="71">
        <v>0.0</v>
      </c>
      <c r="N21" s="68">
        <f t="shared" si="3"/>
        <v>0</v>
      </c>
      <c r="O21" s="71">
        <v>0.0</v>
      </c>
      <c r="P21" s="71">
        <v>0.0</v>
      </c>
      <c r="Q21" s="68">
        <f t="shared" si="4"/>
        <v>0</v>
      </c>
      <c r="R21" s="71">
        <f t="shared" ref="R21:S21" si="58">L21-O21</f>
        <v>0</v>
      </c>
      <c r="S21" s="71">
        <f t="shared" si="58"/>
        <v>0</v>
      </c>
      <c r="T21" s="68">
        <f t="shared" si="6"/>
        <v>0</v>
      </c>
      <c r="U21" s="71">
        <f t="shared" ref="U21:V21" si="59">R21*0.55</f>
        <v>0</v>
      </c>
      <c r="V21" s="71">
        <f t="shared" si="59"/>
        <v>0</v>
      </c>
      <c r="W21" s="68">
        <f t="shared" si="8"/>
        <v>0</v>
      </c>
      <c r="X21" s="71">
        <v>0.0</v>
      </c>
      <c r="Y21" s="71">
        <v>0.0</v>
      </c>
      <c r="Z21" s="68">
        <f t="shared" si="9"/>
        <v>0</v>
      </c>
      <c r="AA21" s="71">
        <f t="shared" ref="AA21:AB21" si="60">X21*0.95</f>
        <v>0</v>
      </c>
      <c r="AB21" s="71">
        <f t="shared" si="60"/>
        <v>0</v>
      </c>
      <c r="AC21" s="68">
        <f t="shared" si="11"/>
        <v>0</v>
      </c>
      <c r="AD21" s="71">
        <v>0.0</v>
      </c>
      <c r="AE21" s="71">
        <v>0.0</v>
      </c>
      <c r="AF21" s="68">
        <f t="shared" si="12"/>
        <v>0</v>
      </c>
      <c r="AG21" s="71">
        <f t="shared" ref="AG21:AH21" si="61">AD21/1.05506</f>
        <v>0</v>
      </c>
      <c r="AH21" s="71">
        <f t="shared" si="61"/>
        <v>0</v>
      </c>
      <c r="AI21" s="68">
        <f t="shared" si="14"/>
        <v>0</v>
      </c>
    </row>
    <row r="22" ht="14.25" customHeight="1">
      <c r="B22" s="66">
        <v>45849.0</v>
      </c>
      <c r="C22" s="70"/>
      <c r="D22" s="70"/>
      <c r="E22" s="68">
        <f t="shared" si="1"/>
        <v>0</v>
      </c>
      <c r="F22" s="71">
        <v>0.0</v>
      </c>
      <c r="G22" s="71">
        <v>0.0</v>
      </c>
      <c r="H22" s="68">
        <f t="shared" si="15"/>
        <v>0</v>
      </c>
      <c r="I22" s="73">
        <f t="shared" ref="I22:J22" si="62">F22*55000*0.35/1000/0.55</f>
        <v>0</v>
      </c>
      <c r="J22" s="73">
        <f t="shared" si="62"/>
        <v>0</v>
      </c>
      <c r="K22" s="68">
        <f t="shared" si="17"/>
        <v>0</v>
      </c>
      <c r="L22" s="71">
        <v>0.0</v>
      </c>
      <c r="M22" s="71">
        <v>0.0</v>
      </c>
      <c r="N22" s="68">
        <f t="shared" si="3"/>
        <v>0</v>
      </c>
      <c r="O22" s="71">
        <v>0.0</v>
      </c>
      <c r="P22" s="71">
        <v>0.0</v>
      </c>
      <c r="Q22" s="68">
        <f t="shared" si="4"/>
        <v>0</v>
      </c>
      <c r="R22" s="71">
        <f t="shared" ref="R22:S22" si="63">L22-O22</f>
        <v>0</v>
      </c>
      <c r="S22" s="71">
        <f t="shared" si="63"/>
        <v>0</v>
      </c>
      <c r="T22" s="68">
        <f t="shared" si="6"/>
        <v>0</v>
      </c>
      <c r="U22" s="71">
        <f t="shared" ref="U22:V22" si="64">R22*0.55</f>
        <v>0</v>
      </c>
      <c r="V22" s="71">
        <f t="shared" si="64"/>
        <v>0</v>
      </c>
      <c r="W22" s="68">
        <f t="shared" si="8"/>
        <v>0</v>
      </c>
      <c r="X22" s="71">
        <v>0.0</v>
      </c>
      <c r="Y22" s="71">
        <v>0.0</v>
      </c>
      <c r="Z22" s="68">
        <f t="shared" si="9"/>
        <v>0</v>
      </c>
      <c r="AA22" s="71">
        <f t="shared" ref="AA22:AB22" si="65">X22*0.95</f>
        <v>0</v>
      </c>
      <c r="AB22" s="71">
        <f t="shared" si="65"/>
        <v>0</v>
      </c>
      <c r="AC22" s="68">
        <f t="shared" si="11"/>
        <v>0</v>
      </c>
      <c r="AD22" s="71">
        <v>0.0</v>
      </c>
      <c r="AE22" s="71">
        <v>0.0</v>
      </c>
      <c r="AF22" s="68">
        <f t="shared" si="12"/>
        <v>0</v>
      </c>
      <c r="AG22" s="71">
        <f t="shared" ref="AG22:AH22" si="66">AD22/1.05506</f>
        <v>0</v>
      </c>
      <c r="AH22" s="71">
        <f t="shared" si="66"/>
        <v>0</v>
      </c>
      <c r="AI22" s="68">
        <f t="shared" si="14"/>
        <v>0</v>
      </c>
    </row>
    <row r="23" ht="14.25" customHeight="1">
      <c r="B23" s="66">
        <v>45850.0</v>
      </c>
      <c r="C23" s="70"/>
      <c r="D23" s="70"/>
      <c r="E23" s="68">
        <f t="shared" si="1"/>
        <v>0</v>
      </c>
      <c r="F23" s="71">
        <v>0.0</v>
      </c>
      <c r="G23" s="71">
        <v>0.0</v>
      </c>
      <c r="H23" s="68">
        <f t="shared" si="15"/>
        <v>0</v>
      </c>
      <c r="I23" s="73">
        <f t="shared" ref="I23:J23" si="67">F23*55000*0.35/1000/0.55</f>
        <v>0</v>
      </c>
      <c r="J23" s="73">
        <f t="shared" si="67"/>
        <v>0</v>
      </c>
      <c r="K23" s="68">
        <f t="shared" si="17"/>
        <v>0</v>
      </c>
      <c r="L23" s="71">
        <v>0.0</v>
      </c>
      <c r="M23" s="71">
        <v>0.0</v>
      </c>
      <c r="N23" s="68">
        <f t="shared" si="3"/>
        <v>0</v>
      </c>
      <c r="O23" s="71">
        <v>0.0</v>
      </c>
      <c r="P23" s="71">
        <v>0.0</v>
      </c>
      <c r="Q23" s="68">
        <f t="shared" si="4"/>
        <v>0</v>
      </c>
      <c r="R23" s="71">
        <f t="shared" ref="R23:S23" si="68">L23-O23</f>
        <v>0</v>
      </c>
      <c r="S23" s="71">
        <f t="shared" si="68"/>
        <v>0</v>
      </c>
      <c r="T23" s="68">
        <f t="shared" si="6"/>
        <v>0</v>
      </c>
      <c r="U23" s="71">
        <f t="shared" ref="U23:V23" si="69">R23*0.55</f>
        <v>0</v>
      </c>
      <c r="V23" s="71">
        <f t="shared" si="69"/>
        <v>0</v>
      </c>
      <c r="W23" s="68">
        <f t="shared" si="8"/>
        <v>0</v>
      </c>
      <c r="X23" s="71">
        <v>0.0</v>
      </c>
      <c r="Y23" s="71">
        <v>0.0</v>
      </c>
      <c r="Z23" s="68">
        <f t="shared" si="9"/>
        <v>0</v>
      </c>
      <c r="AA23" s="71">
        <f t="shared" ref="AA23:AB23" si="70">X23*0.95</f>
        <v>0</v>
      </c>
      <c r="AB23" s="71">
        <f t="shared" si="70"/>
        <v>0</v>
      </c>
      <c r="AC23" s="68">
        <f t="shared" si="11"/>
        <v>0</v>
      </c>
      <c r="AD23" s="71">
        <v>0.0</v>
      </c>
      <c r="AE23" s="71">
        <v>0.0</v>
      </c>
      <c r="AF23" s="68">
        <f t="shared" si="12"/>
        <v>0</v>
      </c>
      <c r="AG23" s="71">
        <f t="shared" ref="AG23:AH23" si="71">AD23/1.05506</f>
        <v>0</v>
      </c>
      <c r="AH23" s="71">
        <f t="shared" si="71"/>
        <v>0</v>
      </c>
      <c r="AI23" s="68">
        <f t="shared" si="14"/>
        <v>0</v>
      </c>
    </row>
    <row r="24" ht="14.25" customHeight="1">
      <c r="B24" s="66">
        <v>45851.0</v>
      </c>
      <c r="C24" s="70"/>
      <c r="D24" s="70"/>
      <c r="E24" s="68">
        <f t="shared" si="1"/>
        <v>0</v>
      </c>
      <c r="F24" s="71">
        <v>0.0</v>
      </c>
      <c r="G24" s="71">
        <v>0.0</v>
      </c>
      <c r="H24" s="68">
        <f t="shared" si="15"/>
        <v>0</v>
      </c>
      <c r="I24" s="73">
        <f t="shared" ref="I24:J24" si="72">F24*55000*0.35/1000/0.55</f>
        <v>0</v>
      </c>
      <c r="J24" s="73">
        <f t="shared" si="72"/>
        <v>0</v>
      </c>
      <c r="K24" s="68">
        <f t="shared" si="17"/>
        <v>0</v>
      </c>
      <c r="L24" s="71">
        <v>0.0</v>
      </c>
      <c r="M24" s="71">
        <v>0.0</v>
      </c>
      <c r="N24" s="68">
        <f t="shared" si="3"/>
        <v>0</v>
      </c>
      <c r="O24" s="71">
        <v>0.0</v>
      </c>
      <c r="P24" s="71">
        <v>0.0</v>
      </c>
      <c r="Q24" s="68">
        <f t="shared" si="4"/>
        <v>0</v>
      </c>
      <c r="R24" s="71">
        <f t="shared" ref="R24:S24" si="73">L24-O24</f>
        <v>0</v>
      </c>
      <c r="S24" s="71">
        <f t="shared" si="73"/>
        <v>0</v>
      </c>
      <c r="T24" s="68">
        <f t="shared" si="6"/>
        <v>0</v>
      </c>
      <c r="U24" s="71">
        <f t="shared" ref="U24:V24" si="74">R24*0.55</f>
        <v>0</v>
      </c>
      <c r="V24" s="71">
        <f t="shared" si="74"/>
        <v>0</v>
      </c>
      <c r="W24" s="68">
        <f t="shared" si="8"/>
        <v>0</v>
      </c>
      <c r="X24" s="71">
        <v>0.0</v>
      </c>
      <c r="Y24" s="71">
        <v>0.0</v>
      </c>
      <c r="Z24" s="68">
        <f t="shared" si="9"/>
        <v>0</v>
      </c>
      <c r="AA24" s="71">
        <f t="shared" ref="AA24:AB24" si="75">X24*0.95</f>
        <v>0</v>
      </c>
      <c r="AB24" s="71">
        <f t="shared" si="75"/>
        <v>0</v>
      </c>
      <c r="AC24" s="68">
        <f t="shared" si="11"/>
        <v>0</v>
      </c>
      <c r="AD24" s="71">
        <v>0.0</v>
      </c>
      <c r="AE24" s="71">
        <v>0.0</v>
      </c>
      <c r="AF24" s="68">
        <f t="shared" si="12"/>
        <v>0</v>
      </c>
      <c r="AG24" s="71">
        <f t="shared" ref="AG24:AH24" si="76">AD24/1.05506</f>
        <v>0</v>
      </c>
      <c r="AH24" s="71">
        <f t="shared" si="76"/>
        <v>0</v>
      </c>
      <c r="AI24" s="68">
        <f t="shared" si="14"/>
        <v>0</v>
      </c>
    </row>
    <row r="25" ht="14.25" customHeight="1">
      <c r="B25" s="66">
        <v>45852.0</v>
      </c>
      <c r="C25" s="70"/>
      <c r="D25" s="70"/>
      <c r="E25" s="68">
        <f t="shared" si="1"/>
        <v>0</v>
      </c>
      <c r="F25" s="71">
        <v>0.0</v>
      </c>
      <c r="G25" s="71">
        <v>0.0</v>
      </c>
      <c r="H25" s="68">
        <f t="shared" si="15"/>
        <v>0</v>
      </c>
      <c r="I25" s="73">
        <f t="shared" ref="I25:J25" si="77">F25*55000*0.35/1000/0.55</f>
        <v>0</v>
      </c>
      <c r="J25" s="73">
        <f t="shared" si="77"/>
        <v>0</v>
      </c>
      <c r="K25" s="68">
        <f t="shared" si="17"/>
        <v>0</v>
      </c>
      <c r="L25" s="71">
        <v>0.0</v>
      </c>
      <c r="M25" s="71">
        <v>0.0</v>
      </c>
      <c r="N25" s="68">
        <f t="shared" si="3"/>
        <v>0</v>
      </c>
      <c r="O25" s="71">
        <v>0.0</v>
      </c>
      <c r="P25" s="71">
        <v>0.0</v>
      </c>
      <c r="Q25" s="68">
        <f t="shared" si="4"/>
        <v>0</v>
      </c>
      <c r="R25" s="71">
        <f t="shared" ref="R25:S25" si="78">L25-O25</f>
        <v>0</v>
      </c>
      <c r="S25" s="71">
        <f t="shared" si="78"/>
        <v>0</v>
      </c>
      <c r="T25" s="68">
        <f t="shared" si="6"/>
        <v>0</v>
      </c>
      <c r="U25" s="71">
        <f t="shared" ref="U25:V25" si="79">R25*0.55</f>
        <v>0</v>
      </c>
      <c r="V25" s="71">
        <f t="shared" si="79"/>
        <v>0</v>
      </c>
      <c r="W25" s="68">
        <f t="shared" si="8"/>
        <v>0</v>
      </c>
      <c r="X25" s="71">
        <v>0.0</v>
      </c>
      <c r="Y25" s="71">
        <v>0.0</v>
      </c>
      <c r="Z25" s="68">
        <f t="shared" si="9"/>
        <v>0</v>
      </c>
      <c r="AA25" s="71">
        <f t="shared" ref="AA25:AB25" si="80">X25*0.95</f>
        <v>0</v>
      </c>
      <c r="AB25" s="71">
        <f t="shared" si="80"/>
        <v>0</v>
      </c>
      <c r="AC25" s="68">
        <f t="shared" si="11"/>
        <v>0</v>
      </c>
      <c r="AD25" s="71">
        <v>0.0</v>
      </c>
      <c r="AE25" s="71">
        <v>0.0</v>
      </c>
      <c r="AF25" s="68">
        <f t="shared" si="12"/>
        <v>0</v>
      </c>
      <c r="AG25" s="71">
        <f t="shared" ref="AG25:AH25" si="81">AD25/1.05506</f>
        <v>0</v>
      </c>
      <c r="AH25" s="71">
        <f t="shared" si="81"/>
        <v>0</v>
      </c>
      <c r="AI25" s="68">
        <f t="shared" si="14"/>
        <v>0</v>
      </c>
    </row>
    <row r="26" ht="14.25" customHeight="1">
      <c r="B26" s="66">
        <v>45853.0</v>
      </c>
      <c r="C26" s="70"/>
      <c r="D26" s="70"/>
      <c r="E26" s="68">
        <f t="shared" si="1"/>
        <v>0</v>
      </c>
      <c r="F26" s="71">
        <v>0.0</v>
      </c>
      <c r="G26" s="71">
        <v>0.0</v>
      </c>
      <c r="H26" s="68">
        <f t="shared" si="15"/>
        <v>0</v>
      </c>
      <c r="I26" s="73">
        <f t="shared" ref="I26:J26" si="82">F26*55000*0.35/1000/0.55</f>
        <v>0</v>
      </c>
      <c r="J26" s="73">
        <f t="shared" si="82"/>
        <v>0</v>
      </c>
      <c r="K26" s="68">
        <f t="shared" si="17"/>
        <v>0</v>
      </c>
      <c r="L26" s="71">
        <v>0.0</v>
      </c>
      <c r="M26" s="71">
        <v>0.0</v>
      </c>
      <c r="N26" s="68">
        <f t="shared" si="3"/>
        <v>0</v>
      </c>
      <c r="O26" s="71">
        <v>0.0</v>
      </c>
      <c r="P26" s="71">
        <v>0.0</v>
      </c>
      <c r="Q26" s="68">
        <f t="shared" si="4"/>
        <v>0</v>
      </c>
      <c r="R26" s="71">
        <f t="shared" ref="R26:S26" si="83">L26-O26</f>
        <v>0</v>
      </c>
      <c r="S26" s="71">
        <f t="shared" si="83"/>
        <v>0</v>
      </c>
      <c r="T26" s="68">
        <f t="shared" si="6"/>
        <v>0</v>
      </c>
      <c r="U26" s="71">
        <f t="shared" ref="U26:V26" si="84">R26*0.55</f>
        <v>0</v>
      </c>
      <c r="V26" s="71">
        <f t="shared" si="84"/>
        <v>0</v>
      </c>
      <c r="W26" s="68">
        <f t="shared" si="8"/>
        <v>0</v>
      </c>
      <c r="X26" s="71">
        <v>0.0</v>
      </c>
      <c r="Y26" s="71">
        <v>0.0</v>
      </c>
      <c r="Z26" s="68">
        <f t="shared" si="9"/>
        <v>0</v>
      </c>
      <c r="AA26" s="71">
        <f t="shared" ref="AA26:AB26" si="85">X26*0.95</f>
        <v>0</v>
      </c>
      <c r="AB26" s="71">
        <f t="shared" si="85"/>
        <v>0</v>
      </c>
      <c r="AC26" s="68">
        <f t="shared" si="11"/>
        <v>0</v>
      </c>
      <c r="AD26" s="71">
        <v>0.0</v>
      </c>
      <c r="AE26" s="71">
        <v>0.0</v>
      </c>
      <c r="AF26" s="68">
        <f t="shared" si="12"/>
        <v>0</v>
      </c>
      <c r="AG26" s="71">
        <f t="shared" ref="AG26:AH26" si="86">AD26/1.05506</f>
        <v>0</v>
      </c>
      <c r="AH26" s="71">
        <f t="shared" si="86"/>
        <v>0</v>
      </c>
      <c r="AI26" s="68">
        <f t="shared" si="14"/>
        <v>0</v>
      </c>
    </row>
    <row r="27" ht="14.25" customHeight="1">
      <c r="B27" s="66">
        <v>45854.0</v>
      </c>
      <c r="C27" s="70"/>
      <c r="D27" s="70"/>
      <c r="E27" s="68">
        <f t="shared" si="1"/>
        <v>0</v>
      </c>
      <c r="F27" s="71">
        <v>0.0</v>
      </c>
      <c r="G27" s="71">
        <v>0.0</v>
      </c>
      <c r="H27" s="68">
        <f t="shared" si="15"/>
        <v>0</v>
      </c>
      <c r="I27" s="73">
        <f t="shared" ref="I27:J27" si="87">F27*55000*0.35/1000/0.55</f>
        <v>0</v>
      </c>
      <c r="J27" s="73">
        <f t="shared" si="87"/>
        <v>0</v>
      </c>
      <c r="K27" s="68">
        <f t="shared" si="17"/>
        <v>0</v>
      </c>
      <c r="L27" s="71">
        <v>0.0</v>
      </c>
      <c r="M27" s="71">
        <v>0.0</v>
      </c>
      <c r="N27" s="68">
        <f t="shared" si="3"/>
        <v>0</v>
      </c>
      <c r="O27" s="71">
        <v>0.0</v>
      </c>
      <c r="P27" s="71">
        <v>0.0</v>
      </c>
      <c r="Q27" s="68">
        <f t="shared" si="4"/>
        <v>0</v>
      </c>
      <c r="R27" s="71">
        <f t="shared" ref="R27:S27" si="88">L27-O27</f>
        <v>0</v>
      </c>
      <c r="S27" s="71">
        <f t="shared" si="88"/>
        <v>0</v>
      </c>
      <c r="T27" s="68">
        <f t="shared" si="6"/>
        <v>0</v>
      </c>
      <c r="U27" s="71">
        <f t="shared" ref="U27:V27" si="89">R27*0.55</f>
        <v>0</v>
      </c>
      <c r="V27" s="71">
        <f t="shared" si="89"/>
        <v>0</v>
      </c>
      <c r="W27" s="68">
        <f t="shared" si="8"/>
        <v>0</v>
      </c>
      <c r="X27" s="71">
        <v>0.0</v>
      </c>
      <c r="Y27" s="71">
        <v>0.0</v>
      </c>
      <c r="Z27" s="68">
        <f t="shared" si="9"/>
        <v>0</v>
      </c>
      <c r="AA27" s="71">
        <f t="shared" ref="AA27:AB27" si="90">X27*0.95</f>
        <v>0</v>
      </c>
      <c r="AB27" s="71">
        <f t="shared" si="90"/>
        <v>0</v>
      </c>
      <c r="AC27" s="68">
        <f t="shared" si="11"/>
        <v>0</v>
      </c>
      <c r="AD27" s="71">
        <v>0.0</v>
      </c>
      <c r="AE27" s="71">
        <v>0.0</v>
      </c>
      <c r="AF27" s="68">
        <f t="shared" si="12"/>
        <v>0</v>
      </c>
      <c r="AG27" s="71">
        <f t="shared" ref="AG27:AH27" si="91">AD27/1.05506</f>
        <v>0</v>
      </c>
      <c r="AH27" s="71">
        <f t="shared" si="91"/>
        <v>0</v>
      </c>
      <c r="AI27" s="68">
        <f t="shared" si="14"/>
        <v>0</v>
      </c>
    </row>
    <row r="28" ht="14.25" customHeight="1">
      <c r="B28" s="66">
        <v>45855.0</v>
      </c>
      <c r="C28" s="70"/>
      <c r="D28" s="70"/>
      <c r="E28" s="68">
        <f t="shared" si="1"/>
        <v>0</v>
      </c>
      <c r="F28" s="71">
        <v>0.0</v>
      </c>
      <c r="G28" s="71">
        <v>0.0</v>
      </c>
      <c r="H28" s="68">
        <f t="shared" si="15"/>
        <v>0</v>
      </c>
      <c r="I28" s="73">
        <f t="shared" ref="I28:J28" si="92">F28*55000*0.35/1000/0.55</f>
        <v>0</v>
      </c>
      <c r="J28" s="73">
        <f t="shared" si="92"/>
        <v>0</v>
      </c>
      <c r="K28" s="68">
        <f t="shared" si="17"/>
        <v>0</v>
      </c>
      <c r="L28" s="71">
        <v>0.0</v>
      </c>
      <c r="M28" s="71">
        <v>0.0</v>
      </c>
      <c r="N28" s="68">
        <f t="shared" si="3"/>
        <v>0</v>
      </c>
      <c r="O28" s="71">
        <v>0.0</v>
      </c>
      <c r="P28" s="71">
        <v>0.0</v>
      </c>
      <c r="Q28" s="68">
        <f t="shared" si="4"/>
        <v>0</v>
      </c>
      <c r="R28" s="71">
        <f t="shared" ref="R28:S28" si="93">L28-O28</f>
        <v>0</v>
      </c>
      <c r="S28" s="71">
        <f t="shared" si="93"/>
        <v>0</v>
      </c>
      <c r="T28" s="68">
        <f t="shared" si="6"/>
        <v>0</v>
      </c>
      <c r="U28" s="71">
        <f t="shared" ref="U28:V28" si="94">R28*0.55</f>
        <v>0</v>
      </c>
      <c r="V28" s="71">
        <f t="shared" si="94"/>
        <v>0</v>
      </c>
      <c r="W28" s="68">
        <f t="shared" si="8"/>
        <v>0</v>
      </c>
      <c r="X28" s="71">
        <v>0.0</v>
      </c>
      <c r="Y28" s="71">
        <v>0.0</v>
      </c>
      <c r="Z28" s="68">
        <f t="shared" si="9"/>
        <v>0</v>
      </c>
      <c r="AA28" s="71">
        <f t="shared" ref="AA28:AB28" si="95">X28*0.95</f>
        <v>0</v>
      </c>
      <c r="AB28" s="71">
        <f t="shared" si="95"/>
        <v>0</v>
      </c>
      <c r="AC28" s="68">
        <f t="shared" si="11"/>
        <v>0</v>
      </c>
      <c r="AD28" s="71">
        <v>0.0</v>
      </c>
      <c r="AE28" s="71">
        <v>0.0</v>
      </c>
      <c r="AF28" s="68">
        <f t="shared" si="12"/>
        <v>0</v>
      </c>
      <c r="AG28" s="71">
        <f t="shared" ref="AG28:AH28" si="96">AD28/1.05506</f>
        <v>0</v>
      </c>
      <c r="AH28" s="71">
        <f t="shared" si="96"/>
        <v>0</v>
      </c>
      <c r="AI28" s="68">
        <f t="shared" si="14"/>
        <v>0</v>
      </c>
    </row>
    <row r="29" ht="14.25" customHeight="1">
      <c r="B29" s="66">
        <v>45856.0</v>
      </c>
      <c r="C29" s="70"/>
      <c r="D29" s="70"/>
      <c r="E29" s="68">
        <f t="shared" si="1"/>
        <v>0</v>
      </c>
      <c r="F29" s="71">
        <v>0.0</v>
      </c>
      <c r="G29" s="71">
        <v>0.0</v>
      </c>
      <c r="H29" s="68">
        <f t="shared" si="15"/>
        <v>0</v>
      </c>
      <c r="I29" s="73">
        <f t="shared" ref="I29:J29" si="97">F29*55000*0.35/1000/0.55</f>
        <v>0</v>
      </c>
      <c r="J29" s="73">
        <f t="shared" si="97"/>
        <v>0</v>
      </c>
      <c r="K29" s="68">
        <f t="shared" si="17"/>
        <v>0</v>
      </c>
      <c r="L29" s="71">
        <v>0.0</v>
      </c>
      <c r="M29" s="71">
        <v>0.0</v>
      </c>
      <c r="N29" s="68">
        <f t="shared" si="3"/>
        <v>0</v>
      </c>
      <c r="O29" s="71">
        <v>0.0</v>
      </c>
      <c r="P29" s="71">
        <v>0.0</v>
      </c>
      <c r="Q29" s="68">
        <f t="shared" si="4"/>
        <v>0</v>
      </c>
      <c r="R29" s="71">
        <f t="shared" ref="R29:S29" si="98">L29-O29</f>
        <v>0</v>
      </c>
      <c r="S29" s="71">
        <f t="shared" si="98"/>
        <v>0</v>
      </c>
      <c r="T29" s="68">
        <f t="shared" si="6"/>
        <v>0</v>
      </c>
      <c r="U29" s="71">
        <f t="shared" ref="U29:V29" si="99">R29*0.55</f>
        <v>0</v>
      </c>
      <c r="V29" s="71">
        <f t="shared" si="99"/>
        <v>0</v>
      </c>
      <c r="W29" s="68">
        <f t="shared" si="8"/>
        <v>0</v>
      </c>
      <c r="X29" s="71">
        <v>0.0</v>
      </c>
      <c r="Y29" s="71">
        <v>0.0</v>
      </c>
      <c r="Z29" s="68">
        <f t="shared" si="9"/>
        <v>0</v>
      </c>
      <c r="AA29" s="71">
        <f t="shared" ref="AA29:AB29" si="100">X29*0.95</f>
        <v>0</v>
      </c>
      <c r="AB29" s="71">
        <f t="shared" si="100"/>
        <v>0</v>
      </c>
      <c r="AC29" s="68">
        <f t="shared" si="11"/>
        <v>0</v>
      </c>
      <c r="AD29" s="71">
        <v>0.0</v>
      </c>
      <c r="AE29" s="71">
        <v>0.0</v>
      </c>
      <c r="AF29" s="68">
        <f t="shared" si="12"/>
        <v>0</v>
      </c>
      <c r="AG29" s="71">
        <f t="shared" ref="AG29:AH29" si="101">AD29/1.05506</f>
        <v>0</v>
      </c>
      <c r="AH29" s="71">
        <f t="shared" si="101"/>
        <v>0</v>
      </c>
      <c r="AI29" s="68">
        <f t="shared" si="14"/>
        <v>0</v>
      </c>
    </row>
    <row r="30" ht="14.25" customHeight="1">
      <c r="B30" s="66">
        <v>45857.0</v>
      </c>
      <c r="C30" s="70"/>
      <c r="D30" s="70"/>
      <c r="E30" s="68">
        <f t="shared" si="1"/>
        <v>0</v>
      </c>
      <c r="F30" s="71">
        <v>0.0</v>
      </c>
      <c r="G30" s="71">
        <v>0.0</v>
      </c>
      <c r="H30" s="68">
        <f t="shared" si="15"/>
        <v>0</v>
      </c>
      <c r="I30" s="73">
        <f t="shared" ref="I30:J30" si="102">F30*55000*0.35/1000/0.55</f>
        <v>0</v>
      </c>
      <c r="J30" s="73">
        <f t="shared" si="102"/>
        <v>0</v>
      </c>
      <c r="K30" s="68">
        <f t="shared" si="17"/>
        <v>0</v>
      </c>
      <c r="L30" s="71">
        <v>0.0</v>
      </c>
      <c r="M30" s="71">
        <v>0.0</v>
      </c>
      <c r="N30" s="68">
        <f t="shared" si="3"/>
        <v>0</v>
      </c>
      <c r="O30" s="71">
        <v>0.0</v>
      </c>
      <c r="P30" s="71">
        <v>0.0</v>
      </c>
      <c r="Q30" s="68">
        <f t="shared" si="4"/>
        <v>0</v>
      </c>
      <c r="R30" s="71">
        <f t="shared" ref="R30:S30" si="103">L30-O30</f>
        <v>0</v>
      </c>
      <c r="S30" s="71">
        <f t="shared" si="103"/>
        <v>0</v>
      </c>
      <c r="T30" s="68">
        <f t="shared" si="6"/>
        <v>0</v>
      </c>
      <c r="U30" s="71">
        <f t="shared" ref="U30:V30" si="104">R30*0.55</f>
        <v>0</v>
      </c>
      <c r="V30" s="71">
        <f t="shared" si="104"/>
        <v>0</v>
      </c>
      <c r="W30" s="68">
        <f t="shared" si="8"/>
        <v>0</v>
      </c>
      <c r="X30" s="71">
        <v>0.0</v>
      </c>
      <c r="Y30" s="71">
        <v>0.0</v>
      </c>
      <c r="Z30" s="68">
        <f t="shared" si="9"/>
        <v>0</v>
      </c>
      <c r="AA30" s="71">
        <f t="shared" ref="AA30:AB30" si="105">X30*0.95</f>
        <v>0</v>
      </c>
      <c r="AB30" s="71">
        <f t="shared" si="105"/>
        <v>0</v>
      </c>
      <c r="AC30" s="68">
        <f t="shared" si="11"/>
        <v>0</v>
      </c>
      <c r="AD30" s="71">
        <v>0.0</v>
      </c>
      <c r="AE30" s="71">
        <v>0.0</v>
      </c>
      <c r="AF30" s="68">
        <f t="shared" si="12"/>
        <v>0</v>
      </c>
      <c r="AG30" s="71">
        <f t="shared" ref="AG30:AH30" si="106">AD30/1.05506</f>
        <v>0</v>
      </c>
      <c r="AH30" s="71">
        <f t="shared" si="106"/>
        <v>0</v>
      </c>
      <c r="AI30" s="68">
        <f t="shared" si="14"/>
        <v>0</v>
      </c>
    </row>
    <row r="31" ht="14.25" customHeight="1">
      <c r="B31" s="66">
        <v>45858.0</v>
      </c>
      <c r="C31" s="70"/>
      <c r="D31" s="70"/>
      <c r="E31" s="68">
        <f t="shared" si="1"/>
        <v>0</v>
      </c>
      <c r="F31" s="71">
        <v>0.0</v>
      </c>
      <c r="G31" s="71">
        <v>0.0</v>
      </c>
      <c r="H31" s="68">
        <f t="shared" si="15"/>
        <v>0</v>
      </c>
      <c r="I31" s="73">
        <f t="shared" ref="I31:J31" si="107">F31*55000*0.35/1000/0.55</f>
        <v>0</v>
      </c>
      <c r="J31" s="73">
        <f t="shared" si="107"/>
        <v>0</v>
      </c>
      <c r="K31" s="68">
        <f t="shared" si="17"/>
        <v>0</v>
      </c>
      <c r="L31" s="71">
        <v>0.0</v>
      </c>
      <c r="M31" s="71">
        <v>0.0</v>
      </c>
      <c r="N31" s="68">
        <f t="shared" si="3"/>
        <v>0</v>
      </c>
      <c r="O31" s="71">
        <v>0.0</v>
      </c>
      <c r="P31" s="71">
        <v>0.0</v>
      </c>
      <c r="Q31" s="68">
        <f t="shared" si="4"/>
        <v>0</v>
      </c>
      <c r="R31" s="71">
        <f t="shared" ref="R31:S31" si="108">L31-O31</f>
        <v>0</v>
      </c>
      <c r="S31" s="71">
        <f t="shared" si="108"/>
        <v>0</v>
      </c>
      <c r="T31" s="68">
        <f t="shared" si="6"/>
        <v>0</v>
      </c>
      <c r="U31" s="71">
        <f t="shared" ref="U31:V31" si="109">R31*0.55</f>
        <v>0</v>
      </c>
      <c r="V31" s="71">
        <f t="shared" si="109"/>
        <v>0</v>
      </c>
      <c r="W31" s="68">
        <f t="shared" si="8"/>
        <v>0</v>
      </c>
      <c r="X31" s="71">
        <v>0.0</v>
      </c>
      <c r="Y31" s="71">
        <v>0.0</v>
      </c>
      <c r="Z31" s="68">
        <f t="shared" si="9"/>
        <v>0</v>
      </c>
      <c r="AA31" s="71">
        <f t="shared" ref="AA31:AB31" si="110">X31*0.95</f>
        <v>0</v>
      </c>
      <c r="AB31" s="71">
        <f t="shared" si="110"/>
        <v>0</v>
      </c>
      <c r="AC31" s="68">
        <f t="shared" si="11"/>
        <v>0</v>
      </c>
      <c r="AD31" s="71">
        <v>0.0</v>
      </c>
      <c r="AE31" s="71">
        <v>0.0</v>
      </c>
      <c r="AF31" s="68">
        <f t="shared" si="12"/>
        <v>0</v>
      </c>
      <c r="AG31" s="71">
        <f t="shared" ref="AG31:AH31" si="111">AD31/1.05506</f>
        <v>0</v>
      </c>
      <c r="AH31" s="71">
        <f t="shared" si="111"/>
        <v>0</v>
      </c>
      <c r="AI31" s="68">
        <f t="shared" si="14"/>
        <v>0</v>
      </c>
    </row>
    <row r="32" ht="14.25" customHeight="1">
      <c r="B32" s="66">
        <v>45859.0</v>
      </c>
      <c r="C32" s="70"/>
      <c r="D32" s="70"/>
      <c r="E32" s="68">
        <f t="shared" si="1"/>
        <v>0</v>
      </c>
      <c r="F32" s="71">
        <v>0.0</v>
      </c>
      <c r="G32" s="71">
        <v>0.0</v>
      </c>
      <c r="H32" s="68">
        <f t="shared" si="15"/>
        <v>0</v>
      </c>
      <c r="I32" s="73">
        <f t="shared" ref="I32:J32" si="112">F32*55000*0.35/1000/0.55</f>
        <v>0</v>
      </c>
      <c r="J32" s="73">
        <f t="shared" si="112"/>
        <v>0</v>
      </c>
      <c r="K32" s="68">
        <f t="shared" si="17"/>
        <v>0</v>
      </c>
      <c r="L32" s="71">
        <v>0.0</v>
      </c>
      <c r="M32" s="71">
        <v>0.0</v>
      </c>
      <c r="N32" s="68">
        <f t="shared" si="3"/>
        <v>0</v>
      </c>
      <c r="O32" s="71">
        <v>0.0</v>
      </c>
      <c r="P32" s="71">
        <v>0.0</v>
      </c>
      <c r="Q32" s="68">
        <f t="shared" si="4"/>
        <v>0</v>
      </c>
      <c r="R32" s="71">
        <f t="shared" ref="R32:S32" si="113">L32-O32</f>
        <v>0</v>
      </c>
      <c r="S32" s="71">
        <f t="shared" si="113"/>
        <v>0</v>
      </c>
      <c r="T32" s="68">
        <f t="shared" si="6"/>
        <v>0</v>
      </c>
      <c r="U32" s="71">
        <f t="shared" ref="U32:V32" si="114">R32*0.55</f>
        <v>0</v>
      </c>
      <c r="V32" s="71">
        <f t="shared" si="114"/>
        <v>0</v>
      </c>
      <c r="W32" s="68">
        <f t="shared" si="8"/>
        <v>0</v>
      </c>
      <c r="X32" s="71">
        <v>0.0</v>
      </c>
      <c r="Y32" s="71">
        <v>0.0</v>
      </c>
      <c r="Z32" s="68">
        <f t="shared" si="9"/>
        <v>0</v>
      </c>
      <c r="AA32" s="71">
        <f t="shared" ref="AA32:AB32" si="115">X32*0.95</f>
        <v>0</v>
      </c>
      <c r="AB32" s="71">
        <f t="shared" si="115"/>
        <v>0</v>
      </c>
      <c r="AC32" s="68">
        <f t="shared" si="11"/>
        <v>0</v>
      </c>
      <c r="AD32" s="71">
        <v>0.0</v>
      </c>
      <c r="AE32" s="71">
        <v>0.0</v>
      </c>
      <c r="AF32" s="68">
        <f t="shared" si="12"/>
        <v>0</v>
      </c>
      <c r="AG32" s="71">
        <f t="shared" ref="AG32:AH32" si="116">AD32/1.05506</f>
        <v>0</v>
      </c>
      <c r="AH32" s="71">
        <f t="shared" si="116"/>
        <v>0</v>
      </c>
      <c r="AI32" s="68">
        <f t="shared" si="14"/>
        <v>0</v>
      </c>
    </row>
    <row r="33" ht="14.25" customHeight="1">
      <c r="B33" s="66">
        <v>45860.0</v>
      </c>
      <c r="C33" s="70"/>
      <c r="D33" s="70"/>
      <c r="E33" s="68">
        <f t="shared" si="1"/>
        <v>0</v>
      </c>
      <c r="F33" s="71">
        <v>0.0</v>
      </c>
      <c r="G33" s="71">
        <v>0.0</v>
      </c>
      <c r="H33" s="68">
        <f t="shared" si="15"/>
        <v>0</v>
      </c>
      <c r="I33" s="73">
        <f t="shared" ref="I33:J33" si="117">F33*55000*0.35/1000/0.55</f>
        <v>0</v>
      </c>
      <c r="J33" s="73">
        <f t="shared" si="117"/>
        <v>0</v>
      </c>
      <c r="K33" s="68">
        <f t="shared" si="17"/>
        <v>0</v>
      </c>
      <c r="L33" s="71">
        <v>0.0</v>
      </c>
      <c r="M33" s="71">
        <v>0.0</v>
      </c>
      <c r="N33" s="68">
        <f t="shared" si="3"/>
        <v>0</v>
      </c>
      <c r="O33" s="71">
        <v>0.0</v>
      </c>
      <c r="P33" s="71">
        <v>0.0</v>
      </c>
      <c r="Q33" s="68">
        <f t="shared" si="4"/>
        <v>0</v>
      </c>
      <c r="R33" s="71">
        <f t="shared" ref="R33:S33" si="118">L33-O33</f>
        <v>0</v>
      </c>
      <c r="S33" s="71">
        <f t="shared" si="118"/>
        <v>0</v>
      </c>
      <c r="T33" s="68">
        <f t="shared" si="6"/>
        <v>0</v>
      </c>
      <c r="U33" s="71">
        <f t="shared" ref="U33:V33" si="119">R33*0.55</f>
        <v>0</v>
      </c>
      <c r="V33" s="71">
        <f t="shared" si="119"/>
        <v>0</v>
      </c>
      <c r="W33" s="68">
        <f t="shared" si="8"/>
        <v>0</v>
      </c>
      <c r="X33" s="71">
        <v>0.0</v>
      </c>
      <c r="Y33" s="71">
        <v>0.0</v>
      </c>
      <c r="Z33" s="68">
        <f t="shared" si="9"/>
        <v>0</v>
      </c>
      <c r="AA33" s="71">
        <f t="shared" ref="AA33:AB33" si="120">X33*0.95</f>
        <v>0</v>
      </c>
      <c r="AB33" s="71">
        <f t="shared" si="120"/>
        <v>0</v>
      </c>
      <c r="AC33" s="68">
        <f t="shared" si="11"/>
        <v>0</v>
      </c>
      <c r="AD33" s="71">
        <v>0.0</v>
      </c>
      <c r="AE33" s="71">
        <v>0.0</v>
      </c>
      <c r="AF33" s="68">
        <f t="shared" si="12"/>
        <v>0</v>
      </c>
      <c r="AG33" s="71">
        <f t="shared" ref="AG33:AH33" si="121">AD33/1.05506</f>
        <v>0</v>
      </c>
      <c r="AH33" s="71">
        <f t="shared" si="121"/>
        <v>0</v>
      </c>
      <c r="AI33" s="68">
        <f t="shared" si="14"/>
        <v>0</v>
      </c>
    </row>
    <row r="34" ht="14.25" customHeight="1">
      <c r="B34" s="66">
        <v>45861.0</v>
      </c>
      <c r="C34" s="70"/>
      <c r="D34" s="70"/>
      <c r="E34" s="68">
        <f t="shared" si="1"/>
        <v>0</v>
      </c>
      <c r="F34" s="71">
        <v>0.0</v>
      </c>
      <c r="G34" s="71">
        <v>0.0</v>
      </c>
      <c r="H34" s="68">
        <f t="shared" si="15"/>
        <v>0</v>
      </c>
      <c r="I34" s="73">
        <f t="shared" ref="I34:J34" si="122">F34*55000*0.35/1000/0.55</f>
        <v>0</v>
      </c>
      <c r="J34" s="73">
        <f t="shared" si="122"/>
        <v>0</v>
      </c>
      <c r="K34" s="68">
        <f t="shared" si="17"/>
        <v>0</v>
      </c>
      <c r="L34" s="71">
        <v>0.0</v>
      </c>
      <c r="M34" s="71">
        <v>0.0</v>
      </c>
      <c r="N34" s="68">
        <f t="shared" si="3"/>
        <v>0</v>
      </c>
      <c r="O34" s="71">
        <v>0.0</v>
      </c>
      <c r="P34" s="71">
        <v>0.0</v>
      </c>
      <c r="Q34" s="68">
        <f t="shared" si="4"/>
        <v>0</v>
      </c>
      <c r="R34" s="71">
        <f t="shared" ref="R34:S34" si="123">L34-O34</f>
        <v>0</v>
      </c>
      <c r="S34" s="71">
        <f t="shared" si="123"/>
        <v>0</v>
      </c>
      <c r="T34" s="68">
        <f t="shared" si="6"/>
        <v>0</v>
      </c>
      <c r="U34" s="71">
        <f t="shared" ref="U34:V34" si="124">R34*0.55</f>
        <v>0</v>
      </c>
      <c r="V34" s="71">
        <f t="shared" si="124"/>
        <v>0</v>
      </c>
      <c r="W34" s="68">
        <f t="shared" si="8"/>
        <v>0</v>
      </c>
      <c r="X34" s="71">
        <v>0.0</v>
      </c>
      <c r="Y34" s="71">
        <v>0.0</v>
      </c>
      <c r="Z34" s="68">
        <f t="shared" si="9"/>
        <v>0</v>
      </c>
      <c r="AA34" s="71">
        <f t="shared" ref="AA34:AB34" si="125">X34*0.95</f>
        <v>0</v>
      </c>
      <c r="AB34" s="71">
        <f t="shared" si="125"/>
        <v>0</v>
      </c>
      <c r="AC34" s="68">
        <f t="shared" si="11"/>
        <v>0</v>
      </c>
      <c r="AD34" s="71">
        <v>0.0</v>
      </c>
      <c r="AE34" s="71">
        <v>0.0</v>
      </c>
      <c r="AF34" s="68">
        <f t="shared" si="12"/>
        <v>0</v>
      </c>
      <c r="AG34" s="71">
        <f t="shared" ref="AG34:AH34" si="126">AD34/1.05506</f>
        <v>0</v>
      </c>
      <c r="AH34" s="71">
        <f t="shared" si="126"/>
        <v>0</v>
      </c>
      <c r="AI34" s="68">
        <f t="shared" si="14"/>
        <v>0</v>
      </c>
    </row>
    <row r="35" ht="14.25" customHeight="1">
      <c r="B35" s="66">
        <v>45862.0</v>
      </c>
      <c r="C35" s="70"/>
      <c r="D35" s="70"/>
      <c r="E35" s="68">
        <f t="shared" si="1"/>
        <v>0</v>
      </c>
      <c r="F35" s="71">
        <v>0.0</v>
      </c>
      <c r="G35" s="71">
        <v>0.0</v>
      </c>
      <c r="H35" s="68">
        <f t="shared" si="15"/>
        <v>0</v>
      </c>
      <c r="I35" s="73">
        <f t="shared" ref="I35:J35" si="127">F35*55000*0.35/1000/0.55</f>
        <v>0</v>
      </c>
      <c r="J35" s="73">
        <f t="shared" si="127"/>
        <v>0</v>
      </c>
      <c r="K35" s="68">
        <f t="shared" si="17"/>
        <v>0</v>
      </c>
      <c r="L35" s="71">
        <v>0.0</v>
      </c>
      <c r="M35" s="71">
        <v>0.0</v>
      </c>
      <c r="N35" s="68">
        <f t="shared" si="3"/>
        <v>0</v>
      </c>
      <c r="O35" s="71">
        <v>0.0</v>
      </c>
      <c r="P35" s="71">
        <v>0.0</v>
      </c>
      <c r="Q35" s="68">
        <f t="shared" si="4"/>
        <v>0</v>
      </c>
      <c r="R35" s="71">
        <f t="shared" ref="R35:S35" si="128">L35-O35</f>
        <v>0</v>
      </c>
      <c r="S35" s="71">
        <f t="shared" si="128"/>
        <v>0</v>
      </c>
      <c r="T35" s="68">
        <f t="shared" si="6"/>
        <v>0</v>
      </c>
      <c r="U35" s="71">
        <f t="shared" ref="U35:V35" si="129">R35*0.55</f>
        <v>0</v>
      </c>
      <c r="V35" s="71">
        <f t="shared" si="129"/>
        <v>0</v>
      </c>
      <c r="W35" s="68">
        <f t="shared" si="8"/>
        <v>0</v>
      </c>
      <c r="X35" s="71">
        <v>0.0</v>
      </c>
      <c r="Y35" s="71">
        <v>0.0</v>
      </c>
      <c r="Z35" s="68">
        <f t="shared" si="9"/>
        <v>0</v>
      </c>
      <c r="AA35" s="71">
        <f t="shared" ref="AA35:AB35" si="130">X35*0.95</f>
        <v>0</v>
      </c>
      <c r="AB35" s="71">
        <f t="shared" si="130"/>
        <v>0</v>
      </c>
      <c r="AC35" s="68">
        <f t="shared" si="11"/>
        <v>0</v>
      </c>
      <c r="AD35" s="71">
        <v>0.0</v>
      </c>
      <c r="AE35" s="71">
        <v>0.0</v>
      </c>
      <c r="AF35" s="68">
        <f t="shared" si="12"/>
        <v>0</v>
      </c>
      <c r="AG35" s="71">
        <f t="shared" ref="AG35:AH35" si="131">AD35/1.05506</f>
        <v>0</v>
      </c>
      <c r="AH35" s="71">
        <f t="shared" si="131"/>
        <v>0</v>
      </c>
      <c r="AI35" s="68">
        <f t="shared" si="14"/>
        <v>0</v>
      </c>
    </row>
    <row r="36" ht="14.25" customHeight="1">
      <c r="B36" s="66">
        <v>45863.0</v>
      </c>
      <c r="C36" s="70"/>
      <c r="D36" s="70"/>
      <c r="E36" s="68">
        <f t="shared" si="1"/>
        <v>0</v>
      </c>
      <c r="F36" s="71">
        <v>0.0</v>
      </c>
      <c r="G36" s="71">
        <v>0.0</v>
      </c>
      <c r="H36" s="68">
        <f t="shared" si="15"/>
        <v>0</v>
      </c>
      <c r="I36" s="73">
        <f t="shared" ref="I36:J36" si="132">F36*55000*0.35/1000/0.55</f>
        <v>0</v>
      </c>
      <c r="J36" s="73">
        <f t="shared" si="132"/>
        <v>0</v>
      </c>
      <c r="K36" s="68">
        <f t="shared" si="17"/>
        <v>0</v>
      </c>
      <c r="L36" s="71">
        <v>0.0</v>
      </c>
      <c r="M36" s="71">
        <v>0.0</v>
      </c>
      <c r="N36" s="68">
        <f t="shared" si="3"/>
        <v>0</v>
      </c>
      <c r="O36" s="71">
        <v>0.0</v>
      </c>
      <c r="P36" s="71">
        <v>0.0</v>
      </c>
      <c r="Q36" s="68">
        <f t="shared" si="4"/>
        <v>0</v>
      </c>
      <c r="R36" s="71">
        <f t="shared" ref="R36:S36" si="133">L36-O36</f>
        <v>0</v>
      </c>
      <c r="S36" s="71">
        <f t="shared" si="133"/>
        <v>0</v>
      </c>
      <c r="T36" s="68">
        <f t="shared" si="6"/>
        <v>0</v>
      </c>
      <c r="U36" s="71">
        <f t="shared" ref="U36:V36" si="134">R36*0.55</f>
        <v>0</v>
      </c>
      <c r="V36" s="71">
        <f t="shared" si="134"/>
        <v>0</v>
      </c>
      <c r="W36" s="68">
        <f t="shared" si="8"/>
        <v>0</v>
      </c>
      <c r="X36" s="71">
        <v>0.0</v>
      </c>
      <c r="Y36" s="71">
        <v>0.0</v>
      </c>
      <c r="Z36" s="68">
        <f t="shared" si="9"/>
        <v>0</v>
      </c>
      <c r="AA36" s="71">
        <f t="shared" ref="AA36:AB36" si="135">X36*0.95</f>
        <v>0</v>
      </c>
      <c r="AB36" s="71">
        <f t="shared" si="135"/>
        <v>0</v>
      </c>
      <c r="AC36" s="68">
        <f t="shared" si="11"/>
        <v>0</v>
      </c>
      <c r="AD36" s="71">
        <v>0.0</v>
      </c>
      <c r="AE36" s="71">
        <v>0.0</v>
      </c>
      <c r="AF36" s="68">
        <f t="shared" si="12"/>
        <v>0</v>
      </c>
      <c r="AG36" s="71">
        <f t="shared" ref="AG36:AH36" si="136">AD36/1.05506</f>
        <v>0</v>
      </c>
      <c r="AH36" s="71">
        <f t="shared" si="136"/>
        <v>0</v>
      </c>
      <c r="AI36" s="68">
        <f t="shared" si="14"/>
        <v>0</v>
      </c>
    </row>
    <row r="37" ht="14.25" customHeight="1">
      <c r="B37" s="66">
        <v>45864.0</v>
      </c>
      <c r="C37" s="70"/>
      <c r="D37" s="70"/>
      <c r="E37" s="68">
        <f t="shared" si="1"/>
        <v>0</v>
      </c>
      <c r="F37" s="71">
        <v>0.0</v>
      </c>
      <c r="G37" s="71">
        <v>0.0</v>
      </c>
      <c r="H37" s="68">
        <f t="shared" si="15"/>
        <v>0</v>
      </c>
      <c r="I37" s="73">
        <f t="shared" ref="I37:J37" si="137">F37*55000*0.35/1000/0.55</f>
        <v>0</v>
      </c>
      <c r="J37" s="73">
        <f t="shared" si="137"/>
        <v>0</v>
      </c>
      <c r="K37" s="68">
        <f t="shared" si="17"/>
        <v>0</v>
      </c>
      <c r="L37" s="71">
        <v>0.0</v>
      </c>
      <c r="M37" s="71">
        <v>0.0</v>
      </c>
      <c r="N37" s="68">
        <f t="shared" si="3"/>
        <v>0</v>
      </c>
      <c r="O37" s="71">
        <v>0.0</v>
      </c>
      <c r="P37" s="71">
        <v>0.0</v>
      </c>
      <c r="Q37" s="68">
        <f t="shared" si="4"/>
        <v>0</v>
      </c>
      <c r="R37" s="71">
        <f t="shared" ref="R37:S37" si="138">L37-O37</f>
        <v>0</v>
      </c>
      <c r="S37" s="71">
        <f t="shared" si="138"/>
        <v>0</v>
      </c>
      <c r="T37" s="68">
        <f t="shared" si="6"/>
        <v>0</v>
      </c>
      <c r="U37" s="71">
        <f t="shared" ref="U37:V37" si="139">R37*0.55</f>
        <v>0</v>
      </c>
      <c r="V37" s="71">
        <f t="shared" si="139"/>
        <v>0</v>
      </c>
      <c r="W37" s="68">
        <f t="shared" si="8"/>
        <v>0</v>
      </c>
      <c r="X37" s="71">
        <v>0.0</v>
      </c>
      <c r="Y37" s="71">
        <v>0.0</v>
      </c>
      <c r="Z37" s="68">
        <f t="shared" si="9"/>
        <v>0</v>
      </c>
      <c r="AA37" s="71">
        <f t="shared" ref="AA37:AB37" si="140">X37*0.95</f>
        <v>0</v>
      </c>
      <c r="AB37" s="71">
        <f t="shared" si="140"/>
        <v>0</v>
      </c>
      <c r="AC37" s="68">
        <f t="shared" si="11"/>
        <v>0</v>
      </c>
      <c r="AD37" s="71">
        <v>0.0</v>
      </c>
      <c r="AE37" s="71">
        <v>0.0</v>
      </c>
      <c r="AF37" s="68">
        <f t="shared" si="12"/>
        <v>0</v>
      </c>
      <c r="AG37" s="71">
        <f t="shared" ref="AG37:AH37" si="141">AD37/1.05506</f>
        <v>0</v>
      </c>
      <c r="AH37" s="71">
        <f t="shared" si="141"/>
        <v>0</v>
      </c>
      <c r="AI37" s="68">
        <f t="shared" si="14"/>
        <v>0</v>
      </c>
    </row>
    <row r="38" ht="14.25" customHeight="1">
      <c r="B38" s="66">
        <v>45865.0</v>
      </c>
      <c r="C38" s="70"/>
      <c r="D38" s="70"/>
      <c r="E38" s="68">
        <f t="shared" si="1"/>
        <v>0</v>
      </c>
      <c r="F38" s="71">
        <v>0.0</v>
      </c>
      <c r="G38" s="71">
        <v>0.0</v>
      </c>
      <c r="H38" s="68">
        <f t="shared" si="15"/>
        <v>0</v>
      </c>
      <c r="I38" s="73">
        <f t="shared" ref="I38:J38" si="142">F38*55000*0.35/1000/0.55</f>
        <v>0</v>
      </c>
      <c r="J38" s="73">
        <f t="shared" si="142"/>
        <v>0</v>
      </c>
      <c r="K38" s="68">
        <f t="shared" si="17"/>
        <v>0</v>
      </c>
      <c r="L38" s="71">
        <v>0.0</v>
      </c>
      <c r="M38" s="71">
        <v>0.0</v>
      </c>
      <c r="N38" s="68">
        <f t="shared" si="3"/>
        <v>0</v>
      </c>
      <c r="O38" s="71">
        <v>0.0</v>
      </c>
      <c r="P38" s="71">
        <v>0.0</v>
      </c>
      <c r="Q38" s="68">
        <f t="shared" si="4"/>
        <v>0</v>
      </c>
      <c r="R38" s="71">
        <f t="shared" ref="R38:S38" si="143">L38-O38</f>
        <v>0</v>
      </c>
      <c r="S38" s="71">
        <f t="shared" si="143"/>
        <v>0</v>
      </c>
      <c r="T38" s="68">
        <f t="shared" si="6"/>
        <v>0</v>
      </c>
      <c r="U38" s="71">
        <f t="shared" ref="U38:V38" si="144">R38*0.55</f>
        <v>0</v>
      </c>
      <c r="V38" s="71">
        <f t="shared" si="144"/>
        <v>0</v>
      </c>
      <c r="W38" s="68">
        <f t="shared" si="8"/>
        <v>0</v>
      </c>
      <c r="X38" s="71">
        <v>0.0</v>
      </c>
      <c r="Y38" s="71">
        <v>0.0</v>
      </c>
      <c r="Z38" s="68">
        <f t="shared" si="9"/>
        <v>0</v>
      </c>
      <c r="AA38" s="71">
        <f t="shared" ref="AA38:AB38" si="145">X38*0.95</f>
        <v>0</v>
      </c>
      <c r="AB38" s="71">
        <f t="shared" si="145"/>
        <v>0</v>
      </c>
      <c r="AC38" s="68">
        <f t="shared" si="11"/>
        <v>0</v>
      </c>
      <c r="AD38" s="71">
        <v>0.0</v>
      </c>
      <c r="AE38" s="71">
        <v>0.0</v>
      </c>
      <c r="AF38" s="68">
        <f t="shared" si="12"/>
        <v>0</v>
      </c>
      <c r="AG38" s="71">
        <f t="shared" ref="AG38:AH38" si="146">AD38/1.05506</f>
        <v>0</v>
      </c>
      <c r="AH38" s="71">
        <f t="shared" si="146"/>
        <v>0</v>
      </c>
      <c r="AI38" s="68">
        <f t="shared" si="14"/>
        <v>0</v>
      </c>
    </row>
    <row r="39" ht="14.25" customHeight="1">
      <c r="B39" s="66">
        <v>45866.0</v>
      </c>
      <c r="C39" s="70"/>
      <c r="D39" s="70"/>
      <c r="E39" s="68">
        <f t="shared" si="1"/>
        <v>0</v>
      </c>
      <c r="F39" s="71">
        <v>0.0</v>
      </c>
      <c r="G39" s="71">
        <v>0.0</v>
      </c>
      <c r="H39" s="68">
        <f t="shared" si="15"/>
        <v>0</v>
      </c>
      <c r="I39" s="73">
        <f t="shared" ref="I39:J39" si="147">F39*55000*0.35/1000/0.55</f>
        <v>0</v>
      </c>
      <c r="J39" s="73">
        <f t="shared" si="147"/>
        <v>0</v>
      </c>
      <c r="K39" s="68">
        <f t="shared" si="17"/>
        <v>0</v>
      </c>
      <c r="L39" s="71">
        <v>0.0</v>
      </c>
      <c r="M39" s="71">
        <v>0.0</v>
      </c>
      <c r="N39" s="68">
        <f t="shared" si="3"/>
        <v>0</v>
      </c>
      <c r="O39" s="71">
        <v>0.0</v>
      </c>
      <c r="P39" s="71">
        <v>0.0</v>
      </c>
      <c r="Q39" s="68">
        <f t="shared" si="4"/>
        <v>0</v>
      </c>
      <c r="R39" s="71">
        <f t="shared" ref="R39:S39" si="148">L39-O39</f>
        <v>0</v>
      </c>
      <c r="S39" s="71">
        <f t="shared" si="148"/>
        <v>0</v>
      </c>
      <c r="T39" s="68">
        <f t="shared" si="6"/>
        <v>0</v>
      </c>
      <c r="U39" s="71">
        <f t="shared" ref="U39:V39" si="149">R39*0.55</f>
        <v>0</v>
      </c>
      <c r="V39" s="71">
        <f t="shared" si="149"/>
        <v>0</v>
      </c>
      <c r="W39" s="68">
        <f t="shared" si="8"/>
        <v>0</v>
      </c>
      <c r="X39" s="71">
        <v>0.0</v>
      </c>
      <c r="Y39" s="71">
        <v>0.0</v>
      </c>
      <c r="Z39" s="68">
        <f t="shared" si="9"/>
        <v>0</v>
      </c>
      <c r="AA39" s="71">
        <f t="shared" ref="AA39:AB39" si="150">X39*0.95</f>
        <v>0</v>
      </c>
      <c r="AB39" s="71">
        <f t="shared" si="150"/>
        <v>0</v>
      </c>
      <c r="AC39" s="68">
        <f t="shared" si="11"/>
        <v>0</v>
      </c>
      <c r="AD39" s="71">
        <v>0.0</v>
      </c>
      <c r="AE39" s="71">
        <v>0.0</v>
      </c>
      <c r="AF39" s="68">
        <f t="shared" si="12"/>
        <v>0</v>
      </c>
      <c r="AG39" s="71">
        <f t="shared" ref="AG39:AH39" si="151">AD39/1.05506</f>
        <v>0</v>
      </c>
      <c r="AH39" s="71">
        <f t="shared" si="151"/>
        <v>0</v>
      </c>
      <c r="AI39" s="68">
        <f t="shared" si="14"/>
        <v>0</v>
      </c>
    </row>
    <row r="40" ht="14.25" customHeight="1">
      <c r="B40" s="66">
        <v>45867.0</v>
      </c>
      <c r="C40" s="70"/>
      <c r="D40" s="70"/>
      <c r="E40" s="68">
        <f t="shared" si="1"/>
        <v>0</v>
      </c>
      <c r="F40" s="71">
        <v>0.0</v>
      </c>
      <c r="G40" s="71">
        <v>0.0</v>
      </c>
      <c r="H40" s="68">
        <f t="shared" si="15"/>
        <v>0</v>
      </c>
      <c r="I40" s="73">
        <f t="shared" ref="I40:J40" si="152">F40*55000*0.35/1000/0.55</f>
        <v>0</v>
      </c>
      <c r="J40" s="73">
        <f t="shared" si="152"/>
        <v>0</v>
      </c>
      <c r="K40" s="68">
        <f t="shared" si="17"/>
        <v>0</v>
      </c>
      <c r="L40" s="71">
        <v>0.0</v>
      </c>
      <c r="M40" s="71">
        <v>0.0</v>
      </c>
      <c r="N40" s="68">
        <f t="shared" si="3"/>
        <v>0</v>
      </c>
      <c r="O40" s="71">
        <v>0.0</v>
      </c>
      <c r="P40" s="71">
        <v>0.0</v>
      </c>
      <c r="Q40" s="68">
        <f t="shared" si="4"/>
        <v>0</v>
      </c>
      <c r="R40" s="71">
        <f t="shared" ref="R40:S40" si="153">L40-O40</f>
        <v>0</v>
      </c>
      <c r="S40" s="71">
        <f t="shared" si="153"/>
        <v>0</v>
      </c>
      <c r="T40" s="68">
        <f t="shared" si="6"/>
        <v>0</v>
      </c>
      <c r="U40" s="71">
        <f t="shared" ref="U40:V40" si="154">R40*0.55</f>
        <v>0</v>
      </c>
      <c r="V40" s="71">
        <f t="shared" si="154"/>
        <v>0</v>
      </c>
      <c r="W40" s="68">
        <f t="shared" si="8"/>
        <v>0</v>
      </c>
      <c r="X40" s="71">
        <v>0.0</v>
      </c>
      <c r="Y40" s="71">
        <v>0.0</v>
      </c>
      <c r="Z40" s="68">
        <f t="shared" si="9"/>
        <v>0</v>
      </c>
      <c r="AA40" s="71">
        <f t="shared" ref="AA40:AB40" si="155">X40*0.95</f>
        <v>0</v>
      </c>
      <c r="AB40" s="71">
        <f t="shared" si="155"/>
        <v>0</v>
      </c>
      <c r="AC40" s="68">
        <f t="shared" si="11"/>
        <v>0</v>
      </c>
      <c r="AD40" s="71">
        <v>0.0</v>
      </c>
      <c r="AE40" s="71">
        <v>0.0</v>
      </c>
      <c r="AF40" s="68">
        <f t="shared" si="12"/>
        <v>0</v>
      </c>
      <c r="AG40" s="71">
        <f t="shared" ref="AG40:AH40" si="156">AD40/1.05506</f>
        <v>0</v>
      </c>
      <c r="AH40" s="71">
        <f t="shared" si="156"/>
        <v>0</v>
      </c>
      <c r="AI40" s="68">
        <f t="shared" si="14"/>
        <v>0</v>
      </c>
    </row>
    <row r="41" ht="14.25" customHeight="1">
      <c r="B41" s="66">
        <v>45868.0</v>
      </c>
      <c r="C41" s="70"/>
      <c r="D41" s="70"/>
      <c r="E41" s="68">
        <f t="shared" si="1"/>
        <v>0</v>
      </c>
      <c r="F41" s="71">
        <v>0.0</v>
      </c>
      <c r="G41" s="71">
        <v>0.0</v>
      </c>
      <c r="H41" s="68">
        <f t="shared" si="15"/>
        <v>0</v>
      </c>
      <c r="I41" s="73">
        <f t="shared" ref="I41:J41" si="157">F41*55000*0.35/1000/0.55</f>
        <v>0</v>
      </c>
      <c r="J41" s="73">
        <f t="shared" si="157"/>
        <v>0</v>
      </c>
      <c r="K41" s="68">
        <f t="shared" si="17"/>
        <v>0</v>
      </c>
      <c r="L41" s="71">
        <v>0.0</v>
      </c>
      <c r="M41" s="71">
        <v>0.0</v>
      </c>
      <c r="N41" s="68">
        <f t="shared" si="3"/>
        <v>0</v>
      </c>
      <c r="O41" s="71">
        <v>0.0</v>
      </c>
      <c r="P41" s="71">
        <v>0.0</v>
      </c>
      <c r="Q41" s="68">
        <f t="shared" si="4"/>
        <v>0</v>
      </c>
      <c r="R41" s="71">
        <f t="shared" ref="R41:S41" si="158">L41-O41</f>
        <v>0</v>
      </c>
      <c r="S41" s="71">
        <f t="shared" si="158"/>
        <v>0</v>
      </c>
      <c r="T41" s="68">
        <f t="shared" si="6"/>
        <v>0</v>
      </c>
      <c r="U41" s="71">
        <f t="shared" ref="U41:V41" si="159">R41*0.55</f>
        <v>0</v>
      </c>
      <c r="V41" s="71">
        <f t="shared" si="159"/>
        <v>0</v>
      </c>
      <c r="W41" s="68">
        <f t="shared" si="8"/>
        <v>0</v>
      </c>
      <c r="X41" s="71">
        <v>0.0</v>
      </c>
      <c r="Y41" s="71">
        <v>0.0</v>
      </c>
      <c r="Z41" s="68">
        <f t="shared" si="9"/>
        <v>0</v>
      </c>
      <c r="AA41" s="71">
        <f t="shared" ref="AA41:AB41" si="160">X41*0.95</f>
        <v>0</v>
      </c>
      <c r="AB41" s="71">
        <f t="shared" si="160"/>
        <v>0</v>
      </c>
      <c r="AC41" s="68">
        <f t="shared" si="11"/>
        <v>0</v>
      </c>
      <c r="AD41" s="71">
        <v>0.0</v>
      </c>
      <c r="AE41" s="71">
        <v>0.0</v>
      </c>
      <c r="AF41" s="68">
        <f t="shared" si="12"/>
        <v>0</v>
      </c>
      <c r="AG41" s="71">
        <f t="shared" ref="AG41:AH41" si="161">AD41/1.05506</f>
        <v>0</v>
      </c>
      <c r="AH41" s="71">
        <f t="shared" si="161"/>
        <v>0</v>
      </c>
      <c r="AI41" s="68">
        <f t="shared" si="14"/>
        <v>0</v>
      </c>
    </row>
    <row r="42" ht="14.25" customHeight="1">
      <c r="B42" s="66">
        <v>45869.0</v>
      </c>
      <c r="C42" s="70"/>
      <c r="D42" s="70"/>
      <c r="E42" s="68">
        <f t="shared" si="1"/>
        <v>0</v>
      </c>
      <c r="F42" s="71">
        <v>0.0</v>
      </c>
      <c r="G42" s="71">
        <v>0.0</v>
      </c>
      <c r="H42" s="68">
        <f t="shared" si="15"/>
        <v>0</v>
      </c>
      <c r="I42" s="73">
        <f t="shared" ref="I42:J42" si="162">F42*55000*0.35/1000/0.55</f>
        <v>0</v>
      </c>
      <c r="J42" s="73">
        <f t="shared" si="162"/>
        <v>0</v>
      </c>
      <c r="K42" s="68">
        <f t="shared" si="17"/>
        <v>0</v>
      </c>
      <c r="L42" s="71">
        <v>0.0</v>
      </c>
      <c r="M42" s="71">
        <v>0.0</v>
      </c>
      <c r="N42" s="68">
        <f t="shared" si="3"/>
        <v>0</v>
      </c>
      <c r="O42" s="71">
        <v>0.0</v>
      </c>
      <c r="P42" s="71">
        <v>0.0</v>
      </c>
      <c r="Q42" s="68">
        <f t="shared" si="4"/>
        <v>0</v>
      </c>
      <c r="R42" s="71">
        <f t="shared" ref="R42:S42" si="163">L41-O42</f>
        <v>0</v>
      </c>
      <c r="S42" s="71">
        <f t="shared" si="163"/>
        <v>0</v>
      </c>
      <c r="T42" s="68">
        <f t="shared" si="6"/>
        <v>0</v>
      </c>
      <c r="U42" s="71">
        <f t="shared" ref="U42:V42" si="164">R42*0.55</f>
        <v>0</v>
      </c>
      <c r="V42" s="71">
        <f t="shared" si="164"/>
        <v>0</v>
      </c>
      <c r="W42" s="68">
        <f t="shared" si="8"/>
        <v>0</v>
      </c>
      <c r="X42" s="71">
        <v>0.0</v>
      </c>
      <c r="Y42" s="71">
        <v>0.0</v>
      </c>
      <c r="Z42" s="68">
        <f t="shared" si="9"/>
        <v>0</v>
      </c>
      <c r="AA42" s="71">
        <f t="shared" ref="AA42:AB42" si="165">X42*0.95</f>
        <v>0</v>
      </c>
      <c r="AB42" s="71">
        <f t="shared" si="165"/>
        <v>0</v>
      </c>
      <c r="AC42" s="68">
        <f t="shared" si="11"/>
        <v>0</v>
      </c>
      <c r="AD42" s="71">
        <v>0.0</v>
      </c>
      <c r="AE42" s="71">
        <v>0.0</v>
      </c>
      <c r="AF42" s="68">
        <f t="shared" si="12"/>
        <v>0</v>
      </c>
      <c r="AG42" s="71">
        <f t="shared" ref="AG42:AH42" si="166">AD42/1.05506</f>
        <v>0</v>
      </c>
      <c r="AH42" s="71">
        <f t="shared" si="166"/>
        <v>0</v>
      </c>
      <c r="AI42" s="68">
        <f t="shared" si="14"/>
        <v>0</v>
      </c>
    </row>
    <row r="43" ht="15.0" customHeight="1">
      <c r="B43" s="76" t="s">
        <v>49</v>
      </c>
      <c r="C43" s="77"/>
      <c r="D43" s="77"/>
      <c r="E43" s="77"/>
      <c r="F43" s="77">
        <f t="shared" ref="F43:AI43" si="167">SUM(F12:F42)</f>
        <v>0</v>
      </c>
      <c r="G43" s="77">
        <f t="shared" si="167"/>
        <v>0</v>
      </c>
      <c r="H43" s="77">
        <f t="shared" si="167"/>
        <v>0</v>
      </c>
      <c r="I43" s="77">
        <f t="shared" si="167"/>
        <v>0</v>
      </c>
      <c r="J43" s="77">
        <f t="shared" si="167"/>
        <v>0</v>
      </c>
      <c r="K43" s="77">
        <f t="shared" si="167"/>
        <v>0</v>
      </c>
      <c r="L43" s="77">
        <f t="shared" si="167"/>
        <v>0</v>
      </c>
      <c r="M43" s="77">
        <f t="shared" si="167"/>
        <v>0</v>
      </c>
      <c r="N43" s="77">
        <f t="shared" si="167"/>
        <v>0</v>
      </c>
      <c r="O43" s="77">
        <f t="shared" si="167"/>
        <v>0</v>
      </c>
      <c r="P43" s="77">
        <f t="shared" si="167"/>
        <v>0</v>
      </c>
      <c r="Q43" s="77">
        <f t="shared" si="167"/>
        <v>0</v>
      </c>
      <c r="R43" s="77">
        <f t="shared" si="167"/>
        <v>0</v>
      </c>
      <c r="S43" s="77">
        <f t="shared" si="167"/>
        <v>0</v>
      </c>
      <c r="T43" s="77">
        <f t="shared" si="167"/>
        <v>0</v>
      </c>
      <c r="U43" s="77">
        <f t="shared" si="167"/>
        <v>0</v>
      </c>
      <c r="V43" s="77">
        <f t="shared" si="167"/>
        <v>0</v>
      </c>
      <c r="W43" s="77">
        <f t="shared" si="167"/>
        <v>0</v>
      </c>
      <c r="X43" s="77">
        <f t="shared" si="167"/>
        <v>0</v>
      </c>
      <c r="Y43" s="77">
        <f t="shared" si="167"/>
        <v>0</v>
      </c>
      <c r="Z43" s="77">
        <f t="shared" si="167"/>
        <v>0</v>
      </c>
      <c r="AA43" s="77">
        <f t="shared" si="167"/>
        <v>0</v>
      </c>
      <c r="AB43" s="77">
        <f t="shared" si="167"/>
        <v>0</v>
      </c>
      <c r="AC43" s="77">
        <f t="shared" si="167"/>
        <v>0</v>
      </c>
      <c r="AD43" s="77">
        <f t="shared" si="167"/>
        <v>0</v>
      </c>
      <c r="AE43" s="77">
        <f t="shared" si="167"/>
        <v>0</v>
      </c>
      <c r="AF43" s="77">
        <f t="shared" si="167"/>
        <v>0</v>
      </c>
      <c r="AG43" s="77">
        <f t="shared" si="167"/>
        <v>0</v>
      </c>
      <c r="AH43" s="77">
        <f t="shared" si="167"/>
        <v>0</v>
      </c>
      <c r="AI43" s="77">
        <f t="shared" si="167"/>
        <v>0</v>
      </c>
      <c r="AK43" s="75" t="str">
        <f>AC43/W43*100</f>
        <v>#DIV/0!</v>
      </c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</row>
    <row r="5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</row>
    <row r="54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</row>
    <row r="59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</row>
    <row r="60" ht="14.25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</row>
    <row r="61" ht="14.25" customHeight="1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</row>
    <row r="62" ht="14.25" customHeight="1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</row>
    <row r="1028" ht="14.25" customHeight="1"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</row>
  </sheetData>
  <mergeCells count="13">
    <mergeCell ref="U5:W9"/>
    <mergeCell ref="X5:Z9"/>
    <mergeCell ref="AA5:AC9"/>
    <mergeCell ref="AD5:AF9"/>
    <mergeCell ref="AG5:AI9"/>
    <mergeCell ref="AJ5:AJ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4.38"/>
    <col customWidth="1" hidden="1" min="3" max="5" width="12.0"/>
    <col customWidth="1" min="6" max="10" width="12.0"/>
    <col customWidth="1" min="11" max="11" width="13.0"/>
    <col customWidth="1" min="12" max="35" width="12.0"/>
    <col customWidth="1" min="37" max="37" width="10.5"/>
  </cols>
  <sheetData>
    <row r="1" ht="14.25" customHeight="1"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>
      <c r="B2" s="1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 t="s">
        <v>39</v>
      </c>
      <c r="AH2" s="57"/>
      <c r="AI2" s="57"/>
    </row>
    <row r="3">
      <c r="B3" s="1" t="s">
        <v>1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 t="s">
        <v>40</v>
      </c>
      <c r="AH3" s="57"/>
      <c r="AI3" s="58">
        <v>1.05506</v>
      </c>
    </row>
    <row r="4">
      <c r="B4" s="2" t="s">
        <v>50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>
      <c r="B5" s="4" t="s">
        <v>42</v>
      </c>
      <c r="C5" s="60" t="s">
        <v>43</v>
      </c>
      <c r="D5" s="6"/>
      <c r="E5" s="7"/>
      <c r="F5" s="60" t="s">
        <v>4</v>
      </c>
      <c r="G5" s="6"/>
      <c r="H5" s="7"/>
      <c r="I5" s="60" t="s">
        <v>5</v>
      </c>
      <c r="J5" s="6"/>
      <c r="K5" s="7"/>
      <c r="L5" s="60" t="s">
        <v>6</v>
      </c>
      <c r="M5" s="6"/>
      <c r="N5" s="7"/>
      <c r="O5" s="60" t="s">
        <v>7</v>
      </c>
      <c r="P5" s="6"/>
      <c r="Q5" s="7"/>
      <c r="R5" s="60" t="s">
        <v>44</v>
      </c>
      <c r="S5" s="6"/>
      <c r="T5" s="7"/>
      <c r="U5" s="60" t="s">
        <v>10</v>
      </c>
      <c r="V5" s="6"/>
      <c r="W5" s="7"/>
      <c r="X5" s="60" t="s">
        <v>46</v>
      </c>
      <c r="Y5" s="6"/>
      <c r="Z5" s="7"/>
      <c r="AA5" s="60" t="s">
        <v>11</v>
      </c>
      <c r="AB5" s="6"/>
      <c r="AC5" s="7"/>
      <c r="AD5" s="60" t="s">
        <v>47</v>
      </c>
      <c r="AE5" s="6"/>
      <c r="AF5" s="7"/>
      <c r="AG5" s="60" t="s">
        <v>12</v>
      </c>
      <c r="AH5" s="6"/>
      <c r="AI5" s="7"/>
      <c r="AJ5" s="62"/>
    </row>
    <row r="6">
      <c r="B6" s="12"/>
      <c r="C6" s="13"/>
      <c r="E6" s="14"/>
      <c r="F6" s="13"/>
      <c r="H6" s="14"/>
      <c r="I6" s="13"/>
      <c r="K6" s="14"/>
      <c r="L6" s="13"/>
      <c r="N6" s="14"/>
      <c r="O6" s="13"/>
      <c r="Q6" s="14"/>
      <c r="R6" s="13"/>
      <c r="T6" s="14"/>
      <c r="U6" s="13"/>
      <c r="W6" s="14"/>
      <c r="X6" s="13"/>
      <c r="Z6" s="14"/>
      <c r="AA6" s="13"/>
      <c r="AC6" s="14"/>
      <c r="AD6" s="13"/>
      <c r="AF6" s="14"/>
      <c r="AG6" s="13"/>
      <c r="AI6" s="14"/>
      <c r="AJ6" s="13"/>
    </row>
    <row r="7">
      <c r="B7" s="12"/>
      <c r="C7" s="13"/>
      <c r="E7" s="14"/>
      <c r="F7" s="13"/>
      <c r="H7" s="14"/>
      <c r="I7" s="13"/>
      <c r="K7" s="14"/>
      <c r="L7" s="13"/>
      <c r="N7" s="14"/>
      <c r="O7" s="13"/>
      <c r="Q7" s="14"/>
      <c r="R7" s="13"/>
      <c r="T7" s="14"/>
      <c r="U7" s="13"/>
      <c r="W7" s="14"/>
      <c r="X7" s="13"/>
      <c r="Z7" s="14"/>
      <c r="AA7" s="13"/>
      <c r="AC7" s="14"/>
      <c r="AD7" s="13"/>
      <c r="AF7" s="14"/>
      <c r="AG7" s="13"/>
      <c r="AI7" s="14"/>
      <c r="AJ7" s="13"/>
    </row>
    <row r="8">
      <c r="B8" s="12"/>
      <c r="C8" s="13"/>
      <c r="E8" s="14"/>
      <c r="F8" s="13"/>
      <c r="H8" s="14"/>
      <c r="I8" s="13"/>
      <c r="K8" s="14"/>
      <c r="L8" s="13"/>
      <c r="N8" s="14"/>
      <c r="O8" s="13"/>
      <c r="Q8" s="14"/>
      <c r="R8" s="13"/>
      <c r="T8" s="14"/>
      <c r="U8" s="13"/>
      <c r="W8" s="14"/>
      <c r="X8" s="13"/>
      <c r="Z8" s="14"/>
      <c r="AA8" s="13"/>
      <c r="AC8" s="14"/>
      <c r="AD8" s="13"/>
      <c r="AF8" s="14"/>
      <c r="AG8" s="13"/>
      <c r="AI8" s="14"/>
      <c r="AJ8" s="13"/>
    </row>
    <row r="9" ht="15.75" customHeight="1">
      <c r="B9" s="12"/>
      <c r="C9" s="15"/>
      <c r="D9" s="16"/>
      <c r="E9" s="17"/>
      <c r="F9" s="15"/>
      <c r="G9" s="16"/>
      <c r="H9" s="17"/>
      <c r="I9" s="15"/>
      <c r="J9" s="16"/>
      <c r="K9" s="17"/>
      <c r="L9" s="15"/>
      <c r="M9" s="16"/>
      <c r="N9" s="17"/>
      <c r="O9" s="15"/>
      <c r="P9" s="16"/>
      <c r="Q9" s="17"/>
      <c r="R9" s="15"/>
      <c r="S9" s="16"/>
      <c r="T9" s="17"/>
      <c r="U9" s="15"/>
      <c r="V9" s="16"/>
      <c r="W9" s="17"/>
      <c r="X9" s="15"/>
      <c r="Y9" s="16"/>
      <c r="Z9" s="17"/>
      <c r="AA9" s="15"/>
      <c r="AB9" s="16"/>
      <c r="AC9" s="17"/>
      <c r="AD9" s="15"/>
      <c r="AE9" s="16"/>
      <c r="AF9" s="17"/>
      <c r="AG9" s="15"/>
      <c r="AH9" s="16"/>
      <c r="AI9" s="17"/>
      <c r="AJ9" s="13"/>
    </row>
    <row r="10" ht="14.25" customHeight="1">
      <c r="B10" s="18"/>
      <c r="C10" s="63" t="s">
        <v>13</v>
      </c>
      <c r="D10" s="64" t="s">
        <v>48</v>
      </c>
      <c r="E10" s="65" t="s">
        <v>15</v>
      </c>
      <c r="F10" s="63" t="s">
        <v>13</v>
      </c>
      <c r="G10" s="64" t="s">
        <v>48</v>
      </c>
      <c r="H10" s="65" t="s">
        <v>15</v>
      </c>
      <c r="I10" s="63" t="s">
        <v>13</v>
      </c>
      <c r="J10" s="64" t="s">
        <v>48</v>
      </c>
      <c r="K10" s="65" t="s">
        <v>15</v>
      </c>
      <c r="L10" s="63" t="s">
        <v>13</v>
      </c>
      <c r="M10" s="64" t="s">
        <v>48</v>
      </c>
      <c r="N10" s="65" t="s">
        <v>15</v>
      </c>
      <c r="O10" s="63" t="s">
        <v>13</v>
      </c>
      <c r="P10" s="64" t="s">
        <v>48</v>
      </c>
      <c r="Q10" s="65" t="s">
        <v>15</v>
      </c>
      <c r="R10" s="63" t="s">
        <v>13</v>
      </c>
      <c r="S10" s="64" t="s">
        <v>48</v>
      </c>
      <c r="T10" s="65" t="s">
        <v>15</v>
      </c>
      <c r="U10" s="63" t="s">
        <v>13</v>
      </c>
      <c r="V10" s="64" t="s">
        <v>48</v>
      </c>
      <c r="W10" s="65" t="s">
        <v>15</v>
      </c>
      <c r="X10" s="63" t="s">
        <v>13</v>
      </c>
      <c r="Y10" s="64" t="s">
        <v>48</v>
      </c>
      <c r="Z10" s="65" t="s">
        <v>15</v>
      </c>
      <c r="AA10" s="63" t="s">
        <v>13</v>
      </c>
      <c r="AB10" s="64" t="s">
        <v>48</v>
      </c>
      <c r="AC10" s="65" t="s">
        <v>15</v>
      </c>
      <c r="AD10" s="63" t="s">
        <v>13</v>
      </c>
      <c r="AE10" s="64" t="s">
        <v>48</v>
      </c>
      <c r="AF10" s="65" t="s">
        <v>15</v>
      </c>
      <c r="AG10" s="63" t="s">
        <v>13</v>
      </c>
      <c r="AH10" s="64" t="s">
        <v>48</v>
      </c>
      <c r="AI10" s="65" t="s">
        <v>15</v>
      </c>
    </row>
    <row r="11" ht="15.0" customHeight="1">
      <c r="B11" s="66">
        <v>45869.0</v>
      </c>
      <c r="C11" s="67">
        <v>0.0</v>
      </c>
      <c r="D11" s="67">
        <v>45868.0</v>
      </c>
      <c r="E11" s="68">
        <f t="shared" ref="E11:E42" si="1">SUM(C11+D11)</f>
        <v>45868</v>
      </c>
      <c r="F11" s="67"/>
      <c r="G11" s="67"/>
      <c r="H11" s="68"/>
      <c r="I11" s="68"/>
      <c r="J11" s="68"/>
      <c r="K11" s="68"/>
      <c r="L11" s="68"/>
      <c r="M11" s="68"/>
      <c r="N11" s="68">
        <f t="shared" ref="N11:N42" si="3">SUM(L11+M11)</f>
        <v>0</v>
      </c>
      <c r="O11" s="68"/>
      <c r="P11" s="68"/>
      <c r="Q11" s="68">
        <f t="shared" ref="Q11:Q42" si="4">SUM(O11+P11)</f>
        <v>0</v>
      </c>
      <c r="R11" s="68"/>
      <c r="S11" s="68"/>
      <c r="T11" s="68">
        <f t="shared" ref="T11:T42" si="6">SUM(R11+S11)</f>
        <v>0</v>
      </c>
      <c r="U11" s="68"/>
      <c r="V11" s="68"/>
      <c r="W11" s="68">
        <f t="shared" ref="W11:W42" si="8">SUM(U11+V11)</f>
        <v>0</v>
      </c>
      <c r="X11" s="68"/>
      <c r="Y11" s="68"/>
      <c r="Z11" s="68">
        <f t="shared" ref="Z11:Z42" si="9">SUM(X11+Y11)</f>
        <v>0</v>
      </c>
      <c r="AA11" s="68"/>
      <c r="AB11" s="68"/>
      <c r="AC11" s="68">
        <f t="shared" ref="AC11:AC42" si="11">SUM(AA11+AB11)</f>
        <v>0</v>
      </c>
      <c r="AD11" s="68"/>
      <c r="AE11" s="68"/>
      <c r="AF11" s="68">
        <f t="shared" ref="AF11:AF42" si="12">SUM(AD11+AE11)</f>
        <v>0</v>
      </c>
      <c r="AG11" s="68"/>
      <c r="AH11" s="68"/>
      <c r="AI11" s="68">
        <f t="shared" ref="AI11:AI42" si="14">SUM(AG11+AH11)</f>
        <v>0</v>
      </c>
    </row>
    <row r="12" ht="18.0" customHeight="1">
      <c r="B12" s="66">
        <v>45870.0</v>
      </c>
      <c r="C12" s="70"/>
      <c r="D12" s="70"/>
      <c r="E12" s="68">
        <f t="shared" si="1"/>
        <v>0</v>
      </c>
      <c r="F12" s="71">
        <v>0.0</v>
      </c>
      <c r="G12" s="72">
        <v>0.0</v>
      </c>
      <c r="H12" s="68">
        <f t="shared" ref="H12:H42" si="15">SUM(F12+G12)</f>
        <v>0</v>
      </c>
      <c r="I12" s="73">
        <f t="shared" ref="I12:J12" si="2">F12*55000*0.35/1000/0.55</f>
        <v>0</v>
      </c>
      <c r="J12" s="73">
        <f t="shared" si="2"/>
        <v>0</v>
      </c>
      <c r="K12" s="68">
        <f t="shared" ref="K12:K42" si="17">J12+I12</f>
        <v>0</v>
      </c>
      <c r="L12" s="71">
        <v>0.0</v>
      </c>
      <c r="M12" s="71">
        <v>0.0</v>
      </c>
      <c r="N12" s="68">
        <f t="shared" si="3"/>
        <v>0</v>
      </c>
      <c r="O12" s="71">
        <v>0.0</v>
      </c>
      <c r="P12" s="71">
        <v>0.0</v>
      </c>
      <c r="Q12" s="68">
        <f t="shared" si="4"/>
        <v>0</v>
      </c>
      <c r="R12" s="71">
        <f t="shared" ref="R12:S12" si="5">L12-O12</f>
        <v>0</v>
      </c>
      <c r="S12" s="71">
        <f t="shared" si="5"/>
        <v>0</v>
      </c>
      <c r="T12" s="68">
        <f t="shared" si="6"/>
        <v>0</v>
      </c>
      <c r="U12" s="71">
        <f t="shared" ref="U12:V12" si="7">R12*0.55</f>
        <v>0</v>
      </c>
      <c r="V12" s="71">
        <f t="shared" si="7"/>
        <v>0</v>
      </c>
      <c r="W12" s="68">
        <f t="shared" si="8"/>
        <v>0</v>
      </c>
      <c r="X12" s="71">
        <v>0.0</v>
      </c>
      <c r="Y12" s="71">
        <v>0.0</v>
      </c>
      <c r="Z12" s="68">
        <f t="shared" si="9"/>
        <v>0</v>
      </c>
      <c r="AA12" s="71">
        <f t="shared" ref="AA12:AB12" si="10">X12*0.95</f>
        <v>0</v>
      </c>
      <c r="AB12" s="71">
        <f t="shared" si="10"/>
        <v>0</v>
      </c>
      <c r="AC12" s="68">
        <f t="shared" si="11"/>
        <v>0</v>
      </c>
      <c r="AD12" s="71">
        <v>0.0</v>
      </c>
      <c r="AE12" s="71">
        <v>0.0</v>
      </c>
      <c r="AF12" s="68">
        <f t="shared" si="12"/>
        <v>0</v>
      </c>
      <c r="AG12" s="71">
        <f t="shared" ref="AG12:AH12" si="13">AD12/1.05506</f>
        <v>0</v>
      </c>
      <c r="AH12" s="71">
        <f t="shared" si="13"/>
        <v>0</v>
      </c>
      <c r="AI12" s="68">
        <f t="shared" si="14"/>
        <v>0</v>
      </c>
    </row>
    <row r="13" ht="14.25" customHeight="1">
      <c r="B13" s="66">
        <v>45871.0</v>
      </c>
      <c r="C13" s="70"/>
      <c r="D13" s="70"/>
      <c r="E13" s="68">
        <f t="shared" si="1"/>
        <v>0</v>
      </c>
      <c r="F13" s="71">
        <v>0.0</v>
      </c>
      <c r="G13" s="72">
        <v>0.0</v>
      </c>
      <c r="H13" s="68">
        <f t="shared" si="15"/>
        <v>0</v>
      </c>
      <c r="I13" s="73">
        <f t="shared" ref="I13:J13" si="16">F13*55000*0.35/1000/0.55</f>
        <v>0</v>
      </c>
      <c r="J13" s="73">
        <f t="shared" si="16"/>
        <v>0</v>
      </c>
      <c r="K13" s="68">
        <f t="shared" si="17"/>
        <v>0</v>
      </c>
      <c r="L13" s="71">
        <v>0.0</v>
      </c>
      <c r="M13" s="71">
        <v>0.0</v>
      </c>
      <c r="N13" s="68">
        <f t="shared" si="3"/>
        <v>0</v>
      </c>
      <c r="O13" s="71">
        <v>0.0</v>
      </c>
      <c r="P13" s="71">
        <v>0.0</v>
      </c>
      <c r="Q13" s="68">
        <f t="shared" si="4"/>
        <v>0</v>
      </c>
      <c r="R13" s="71">
        <f t="shared" ref="R13:S13" si="18">L13-O13</f>
        <v>0</v>
      </c>
      <c r="S13" s="71">
        <f t="shared" si="18"/>
        <v>0</v>
      </c>
      <c r="T13" s="68">
        <f t="shared" si="6"/>
        <v>0</v>
      </c>
      <c r="U13" s="71">
        <f t="shared" ref="U13:V13" si="19">R13*0.55</f>
        <v>0</v>
      </c>
      <c r="V13" s="71">
        <f t="shared" si="19"/>
        <v>0</v>
      </c>
      <c r="W13" s="68">
        <f t="shared" si="8"/>
        <v>0</v>
      </c>
      <c r="X13" s="71">
        <v>0.0</v>
      </c>
      <c r="Y13" s="71">
        <v>0.0</v>
      </c>
      <c r="Z13" s="68">
        <f t="shared" si="9"/>
        <v>0</v>
      </c>
      <c r="AA13" s="71">
        <f t="shared" ref="AA13:AB13" si="20">X13*0.95</f>
        <v>0</v>
      </c>
      <c r="AB13" s="71">
        <f t="shared" si="20"/>
        <v>0</v>
      </c>
      <c r="AC13" s="68">
        <f t="shared" si="11"/>
        <v>0</v>
      </c>
      <c r="AD13" s="71">
        <v>0.0</v>
      </c>
      <c r="AE13" s="71">
        <v>0.0</v>
      </c>
      <c r="AF13" s="68">
        <f t="shared" si="12"/>
        <v>0</v>
      </c>
      <c r="AG13" s="71">
        <f t="shared" ref="AG13:AH13" si="21">AD13/1.05506</f>
        <v>0</v>
      </c>
      <c r="AH13" s="71">
        <f t="shared" si="21"/>
        <v>0</v>
      </c>
      <c r="AI13" s="68">
        <f t="shared" si="14"/>
        <v>0</v>
      </c>
    </row>
    <row r="14" ht="14.25" customHeight="1">
      <c r="B14" s="66">
        <v>45872.0</v>
      </c>
      <c r="C14" s="70"/>
      <c r="D14" s="70"/>
      <c r="E14" s="68">
        <f t="shared" si="1"/>
        <v>0</v>
      </c>
      <c r="F14" s="71">
        <v>0.0</v>
      </c>
      <c r="G14" s="72">
        <v>0.0</v>
      </c>
      <c r="H14" s="68">
        <f t="shared" si="15"/>
        <v>0</v>
      </c>
      <c r="I14" s="73">
        <f t="shared" ref="I14:J14" si="22">F14*55000*0.35/1000/0.55</f>
        <v>0</v>
      </c>
      <c r="J14" s="73">
        <f t="shared" si="22"/>
        <v>0</v>
      </c>
      <c r="K14" s="68">
        <f t="shared" si="17"/>
        <v>0</v>
      </c>
      <c r="L14" s="71">
        <v>0.0</v>
      </c>
      <c r="M14" s="71">
        <v>0.0</v>
      </c>
      <c r="N14" s="68">
        <f t="shared" si="3"/>
        <v>0</v>
      </c>
      <c r="O14" s="71">
        <v>0.0</v>
      </c>
      <c r="P14" s="71">
        <v>0.0</v>
      </c>
      <c r="Q14" s="68">
        <f t="shared" si="4"/>
        <v>0</v>
      </c>
      <c r="R14" s="71">
        <f t="shared" ref="R14:S14" si="23">L14-O14</f>
        <v>0</v>
      </c>
      <c r="S14" s="71">
        <f t="shared" si="23"/>
        <v>0</v>
      </c>
      <c r="T14" s="68">
        <f t="shared" si="6"/>
        <v>0</v>
      </c>
      <c r="U14" s="71">
        <f t="shared" ref="U14:V14" si="24">R14*0.55</f>
        <v>0</v>
      </c>
      <c r="V14" s="71">
        <f t="shared" si="24"/>
        <v>0</v>
      </c>
      <c r="W14" s="68">
        <f t="shared" si="8"/>
        <v>0</v>
      </c>
      <c r="X14" s="71">
        <v>0.0</v>
      </c>
      <c r="Y14" s="71">
        <v>0.0</v>
      </c>
      <c r="Z14" s="68">
        <f t="shared" si="9"/>
        <v>0</v>
      </c>
      <c r="AA14" s="71">
        <f t="shared" ref="AA14:AB14" si="25">X14*0.95</f>
        <v>0</v>
      </c>
      <c r="AB14" s="71">
        <f t="shared" si="25"/>
        <v>0</v>
      </c>
      <c r="AC14" s="68">
        <f t="shared" si="11"/>
        <v>0</v>
      </c>
      <c r="AD14" s="71">
        <v>0.0</v>
      </c>
      <c r="AE14" s="71">
        <v>0.0</v>
      </c>
      <c r="AF14" s="68">
        <f t="shared" si="12"/>
        <v>0</v>
      </c>
      <c r="AG14" s="71">
        <f t="shared" ref="AG14:AH14" si="26">AD14/1.05506</f>
        <v>0</v>
      </c>
      <c r="AH14" s="71">
        <f t="shared" si="26"/>
        <v>0</v>
      </c>
      <c r="AI14" s="68">
        <f t="shared" si="14"/>
        <v>0</v>
      </c>
    </row>
    <row r="15" ht="14.25" customHeight="1">
      <c r="B15" s="66">
        <v>45873.0</v>
      </c>
      <c r="C15" s="70"/>
      <c r="D15" s="70"/>
      <c r="E15" s="68">
        <f t="shared" si="1"/>
        <v>0</v>
      </c>
      <c r="F15" s="71">
        <v>0.0</v>
      </c>
      <c r="G15" s="72">
        <v>0.0</v>
      </c>
      <c r="H15" s="68">
        <f t="shared" si="15"/>
        <v>0</v>
      </c>
      <c r="I15" s="73">
        <f t="shared" ref="I15:J15" si="27">F15*55000*0.35/1000/0.55</f>
        <v>0</v>
      </c>
      <c r="J15" s="73">
        <f t="shared" si="27"/>
        <v>0</v>
      </c>
      <c r="K15" s="68">
        <f t="shared" si="17"/>
        <v>0</v>
      </c>
      <c r="L15" s="71">
        <v>0.0</v>
      </c>
      <c r="M15" s="71">
        <v>0.0</v>
      </c>
      <c r="N15" s="68">
        <f t="shared" si="3"/>
        <v>0</v>
      </c>
      <c r="O15" s="71">
        <v>0.0</v>
      </c>
      <c r="P15" s="71">
        <v>0.0</v>
      </c>
      <c r="Q15" s="68">
        <f t="shared" si="4"/>
        <v>0</v>
      </c>
      <c r="R15" s="71">
        <f t="shared" ref="R15:S15" si="28">L15-O15</f>
        <v>0</v>
      </c>
      <c r="S15" s="71">
        <f t="shared" si="28"/>
        <v>0</v>
      </c>
      <c r="T15" s="68">
        <f t="shared" si="6"/>
        <v>0</v>
      </c>
      <c r="U15" s="71">
        <f t="shared" ref="U15:V15" si="29">R15*0.55</f>
        <v>0</v>
      </c>
      <c r="V15" s="71">
        <f t="shared" si="29"/>
        <v>0</v>
      </c>
      <c r="W15" s="68">
        <f t="shared" si="8"/>
        <v>0</v>
      </c>
      <c r="X15" s="71">
        <v>0.0</v>
      </c>
      <c r="Y15" s="71">
        <v>0.0</v>
      </c>
      <c r="Z15" s="68">
        <f t="shared" si="9"/>
        <v>0</v>
      </c>
      <c r="AA15" s="71">
        <f t="shared" ref="AA15:AB15" si="30">X15*0.95</f>
        <v>0</v>
      </c>
      <c r="AB15" s="71">
        <f t="shared" si="30"/>
        <v>0</v>
      </c>
      <c r="AC15" s="68">
        <f t="shared" si="11"/>
        <v>0</v>
      </c>
      <c r="AD15" s="71">
        <v>0.0</v>
      </c>
      <c r="AE15" s="71">
        <v>0.0</v>
      </c>
      <c r="AF15" s="68">
        <f t="shared" si="12"/>
        <v>0</v>
      </c>
      <c r="AG15" s="71">
        <f t="shared" ref="AG15:AH15" si="31">AD15/1.05506</f>
        <v>0</v>
      </c>
      <c r="AH15" s="71">
        <f t="shared" si="31"/>
        <v>0</v>
      </c>
      <c r="AI15" s="68">
        <f t="shared" si="14"/>
        <v>0</v>
      </c>
    </row>
    <row r="16" ht="14.25" customHeight="1">
      <c r="B16" s="66">
        <v>45874.0</v>
      </c>
      <c r="C16" s="70"/>
      <c r="D16" s="70"/>
      <c r="E16" s="68">
        <f t="shared" si="1"/>
        <v>0</v>
      </c>
      <c r="F16" s="71">
        <v>0.0</v>
      </c>
      <c r="G16" s="72">
        <v>0.0</v>
      </c>
      <c r="H16" s="68">
        <f t="shared" si="15"/>
        <v>0</v>
      </c>
      <c r="I16" s="73">
        <f t="shared" ref="I16:J16" si="32">F16*55000*0.35/1000/0.55</f>
        <v>0</v>
      </c>
      <c r="J16" s="73">
        <f t="shared" si="32"/>
        <v>0</v>
      </c>
      <c r="K16" s="68">
        <f t="shared" si="17"/>
        <v>0</v>
      </c>
      <c r="L16" s="71">
        <v>0.0</v>
      </c>
      <c r="M16" s="71">
        <v>0.0</v>
      </c>
      <c r="N16" s="68">
        <f t="shared" si="3"/>
        <v>0</v>
      </c>
      <c r="O16" s="71">
        <v>0.0</v>
      </c>
      <c r="P16" s="71">
        <v>0.0</v>
      </c>
      <c r="Q16" s="68">
        <f t="shared" si="4"/>
        <v>0</v>
      </c>
      <c r="R16" s="71">
        <f t="shared" ref="R16:S16" si="33">L16-O16</f>
        <v>0</v>
      </c>
      <c r="S16" s="71">
        <f t="shared" si="33"/>
        <v>0</v>
      </c>
      <c r="T16" s="68">
        <f t="shared" si="6"/>
        <v>0</v>
      </c>
      <c r="U16" s="71">
        <f t="shared" ref="U16:V16" si="34">R16*0.55</f>
        <v>0</v>
      </c>
      <c r="V16" s="71">
        <f t="shared" si="34"/>
        <v>0</v>
      </c>
      <c r="W16" s="68">
        <f t="shared" si="8"/>
        <v>0</v>
      </c>
      <c r="X16" s="71">
        <v>0.0</v>
      </c>
      <c r="Y16" s="71">
        <v>0.0</v>
      </c>
      <c r="Z16" s="68">
        <f t="shared" si="9"/>
        <v>0</v>
      </c>
      <c r="AA16" s="71">
        <f t="shared" ref="AA16:AB16" si="35">X16*0.95</f>
        <v>0</v>
      </c>
      <c r="AB16" s="71">
        <f t="shared" si="35"/>
        <v>0</v>
      </c>
      <c r="AC16" s="68">
        <f t="shared" si="11"/>
        <v>0</v>
      </c>
      <c r="AD16" s="71">
        <v>0.0</v>
      </c>
      <c r="AE16" s="71">
        <v>0.0</v>
      </c>
      <c r="AF16" s="68">
        <f t="shared" si="12"/>
        <v>0</v>
      </c>
      <c r="AG16" s="71">
        <f t="shared" ref="AG16:AH16" si="36">AD16/1.05506</f>
        <v>0</v>
      </c>
      <c r="AH16" s="71">
        <f t="shared" si="36"/>
        <v>0</v>
      </c>
      <c r="AI16" s="68">
        <f t="shared" si="14"/>
        <v>0</v>
      </c>
    </row>
    <row r="17" ht="14.25" customHeight="1">
      <c r="B17" s="66">
        <v>45875.0</v>
      </c>
      <c r="C17" s="70"/>
      <c r="D17" s="70"/>
      <c r="E17" s="68">
        <f t="shared" si="1"/>
        <v>0</v>
      </c>
      <c r="F17" s="71">
        <v>0.0</v>
      </c>
      <c r="G17" s="72">
        <v>0.0</v>
      </c>
      <c r="H17" s="68">
        <f t="shared" si="15"/>
        <v>0</v>
      </c>
      <c r="I17" s="73">
        <f t="shared" ref="I17:J17" si="37">F17*55000*0.35/1000/0.55</f>
        <v>0</v>
      </c>
      <c r="J17" s="73">
        <f t="shared" si="37"/>
        <v>0</v>
      </c>
      <c r="K17" s="68">
        <f t="shared" si="17"/>
        <v>0</v>
      </c>
      <c r="L17" s="71">
        <v>0.0</v>
      </c>
      <c r="M17" s="71">
        <v>0.0</v>
      </c>
      <c r="N17" s="68">
        <f t="shared" si="3"/>
        <v>0</v>
      </c>
      <c r="O17" s="71">
        <v>0.0</v>
      </c>
      <c r="P17" s="71">
        <v>0.0</v>
      </c>
      <c r="Q17" s="68">
        <f t="shared" si="4"/>
        <v>0</v>
      </c>
      <c r="R17" s="71">
        <f t="shared" ref="R17:S17" si="38">L17-O17</f>
        <v>0</v>
      </c>
      <c r="S17" s="71">
        <f t="shared" si="38"/>
        <v>0</v>
      </c>
      <c r="T17" s="68">
        <f t="shared" si="6"/>
        <v>0</v>
      </c>
      <c r="U17" s="71">
        <f t="shared" ref="U17:V17" si="39">R17*0.55</f>
        <v>0</v>
      </c>
      <c r="V17" s="71">
        <f t="shared" si="39"/>
        <v>0</v>
      </c>
      <c r="W17" s="68">
        <f t="shared" si="8"/>
        <v>0</v>
      </c>
      <c r="X17" s="71">
        <v>0.0</v>
      </c>
      <c r="Y17" s="71">
        <v>0.0</v>
      </c>
      <c r="Z17" s="68">
        <f t="shared" si="9"/>
        <v>0</v>
      </c>
      <c r="AA17" s="71">
        <f t="shared" ref="AA17:AB17" si="40">X17*0.95</f>
        <v>0</v>
      </c>
      <c r="AB17" s="71">
        <f t="shared" si="40"/>
        <v>0</v>
      </c>
      <c r="AC17" s="68">
        <f t="shared" si="11"/>
        <v>0</v>
      </c>
      <c r="AD17" s="71">
        <v>0.0</v>
      </c>
      <c r="AE17" s="71">
        <v>0.0</v>
      </c>
      <c r="AF17" s="68">
        <f t="shared" si="12"/>
        <v>0</v>
      </c>
      <c r="AG17" s="71">
        <f t="shared" ref="AG17:AH17" si="41">AD17/1.05506</f>
        <v>0</v>
      </c>
      <c r="AH17" s="71">
        <f t="shared" si="41"/>
        <v>0</v>
      </c>
      <c r="AI17" s="68">
        <f t="shared" si="14"/>
        <v>0</v>
      </c>
    </row>
    <row r="18" ht="14.25" customHeight="1">
      <c r="B18" s="66">
        <v>45876.0</v>
      </c>
      <c r="C18" s="70"/>
      <c r="D18" s="70"/>
      <c r="E18" s="68">
        <f t="shared" si="1"/>
        <v>0</v>
      </c>
      <c r="F18" s="71">
        <v>0.0</v>
      </c>
      <c r="G18" s="72">
        <v>0.0</v>
      </c>
      <c r="H18" s="68">
        <f t="shared" si="15"/>
        <v>0</v>
      </c>
      <c r="I18" s="73">
        <f t="shared" ref="I18:J18" si="42">F18*55000*0.35/1000/0.55</f>
        <v>0</v>
      </c>
      <c r="J18" s="73">
        <f t="shared" si="42"/>
        <v>0</v>
      </c>
      <c r="K18" s="68">
        <f t="shared" si="17"/>
        <v>0</v>
      </c>
      <c r="L18" s="71">
        <v>0.0</v>
      </c>
      <c r="M18" s="71">
        <v>0.0</v>
      </c>
      <c r="N18" s="68">
        <f t="shared" si="3"/>
        <v>0</v>
      </c>
      <c r="O18" s="71">
        <v>0.0</v>
      </c>
      <c r="P18" s="71">
        <v>0.0</v>
      </c>
      <c r="Q18" s="68">
        <f t="shared" si="4"/>
        <v>0</v>
      </c>
      <c r="R18" s="71">
        <f t="shared" ref="R18:S18" si="43">L18-O18</f>
        <v>0</v>
      </c>
      <c r="S18" s="71">
        <f t="shared" si="43"/>
        <v>0</v>
      </c>
      <c r="T18" s="68">
        <f t="shared" si="6"/>
        <v>0</v>
      </c>
      <c r="U18" s="71">
        <f t="shared" ref="U18:V18" si="44">R18*0.55</f>
        <v>0</v>
      </c>
      <c r="V18" s="71">
        <f t="shared" si="44"/>
        <v>0</v>
      </c>
      <c r="W18" s="68">
        <f t="shared" si="8"/>
        <v>0</v>
      </c>
      <c r="X18" s="71">
        <v>0.0</v>
      </c>
      <c r="Y18" s="71">
        <v>0.0</v>
      </c>
      <c r="Z18" s="68">
        <f t="shared" si="9"/>
        <v>0</v>
      </c>
      <c r="AA18" s="71">
        <f t="shared" ref="AA18:AB18" si="45">X18*0.95</f>
        <v>0</v>
      </c>
      <c r="AB18" s="71">
        <f t="shared" si="45"/>
        <v>0</v>
      </c>
      <c r="AC18" s="68">
        <f t="shared" si="11"/>
        <v>0</v>
      </c>
      <c r="AD18" s="71">
        <v>0.0</v>
      </c>
      <c r="AE18" s="71">
        <v>0.0</v>
      </c>
      <c r="AF18" s="68">
        <f t="shared" si="12"/>
        <v>0</v>
      </c>
      <c r="AG18" s="71">
        <f t="shared" ref="AG18:AH18" si="46">AD18/1.05506</f>
        <v>0</v>
      </c>
      <c r="AH18" s="71">
        <f t="shared" si="46"/>
        <v>0</v>
      </c>
      <c r="AI18" s="68">
        <f t="shared" si="14"/>
        <v>0</v>
      </c>
    </row>
    <row r="19" ht="14.25" customHeight="1">
      <c r="B19" s="66">
        <v>45877.0</v>
      </c>
      <c r="C19" s="70"/>
      <c r="D19" s="70"/>
      <c r="E19" s="68">
        <f t="shared" si="1"/>
        <v>0</v>
      </c>
      <c r="F19" s="71">
        <v>0.0</v>
      </c>
      <c r="G19" s="72">
        <v>0.0</v>
      </c>
      <c r="H19" s="68">
        <f t="shared" si="15"/>
        <v>0</v>
      </c>
      <c r="I19" s="73">
        <f t="shared" ref="I19:J19" si="47">F19*55000*0.35/1000/0.55</f>
        <v>0</v>
      </c>
      <c r="J19" s="73">
        <f t="shared" si="47"/>
        <v>0</v>
      </c>
      <c r="K19" s="68">
        <f t="shared" si="17"/>
        <v>0</v>
      </c>
      <c r="L19" s="71">
        <v>0.0</v>
      </c>
      <c r="M19" s="71">
        <v>0.0</v>
      </c>
      <c r="N19" s="68">
        <f t="shared" si="3"/>
        <v>0</v>
      </c>
      <c r="O19" s="71">
        <v>0.0</v>
      </c>
      <c r="P19" s="71">
        <v>0.0</v>
      </c>
      <c r="Q19" s="68">
        <f t="shared" si="4"/>
        <v>0</v>
      </c>
      <c r="R19" s="71">
        <f t="shared" ref="R19:S19" si="48">L19-O19</f>
        <v>0</v>
      </c>
      <c r="S19" s="71">
        <f t="shared" si="48"/>
        <v>0</v>
      </c>
      <c r="T19" s="68">
        <f t="shared" si="6"/>
        <v>0</v>
      </c>
      <c r="U19" s="71">
        <f t="shared" ref="U19:V19" si="49">R19*0.55</f>
        <v>0</v>
      </c>
      <c r="V19" s="71">
        <f t="shared" si="49"/>
        <v>0</v>
      </c>
      <c r="W19" s="68">
        <f t="shared" si="8"/>
        <v>0</v>
      </c>
      <c r="X19" s="71">
        <v>0.0</v>
      </c>
      <c r="Y19" s="71">
        <v>0.0</v>
      </c>
      <c r="Z19" s="68">
        <f t="shared" si="9"/>
        <v>0</v>
      </c>
      <c r="AA19" s="71">
        <f t="shared" ref="AA19:AB19" si="50">X19*0.95</f>
        <v>0</v>
      </c>
      <c r="AB19" s="71">
        <f t="shared" si="50"/>
        <v>0</v>
      </c>
      <c r="AC19" s="68">
        <f t="shared" si="11"/>
        <v>0</v>
      </c>
      <c r="AD19" s="71">
        <v>0.0</v>
      </c>
      <c r="AE19" s="71">
        <v>0.0</v>
      </c>
      <c r="AF19" s="68">
        <f t="shared" si="12"/>
        <v>0</v>
      </c>
      <c r="AG19" s="71">
        <f t="shared" ref="AG19:AH19" si="51">AD19/1.05506</f>
        <v>0</v>
      </c>
      <c r="AH19" s="71">
        <f t="shared" si="51"/>
        <v>0</v>
      </c>
      <c r="AI19" s="68">
        <f t="shared" si="14"/>
        <v>0</v>
      </c>
    </row>
    <row r="20" ht="14.25" customHeight="1">
      <c r="B20" s="66">
        <v>45878.0</v>
      </c>
      <c r="C20" s="70"/>
      <c r="D20" s="70"/>
      <c r="E20" s="68">
        <f t="shared" si="1"/>
        <v>0</v>
      </c>
      <c r="F20" s="71">
        <v>0.0</v>
      </c>
      <c r="G20" s="72">
        <v>0.0</v>
      </c>
      <c r="H20" s="68">
        <f t="shared" si="15"/>
        <v>0</v>
      </c>
      <c r="I20" s="73">
        <f t="shared" ref="I20:J20" si="52">F20*55000*0.35/1000/0.55</f>
        <v>0</v>
      </c>
      <c r="J20" s="73">
        <f t="shared" si="52"/>
        <v>0</v>
      </c>
      <c r="K20" s="68">
        <f t="shared" si="17"/>
        <v>0</v>
      </c>
      <c r="L20" s="71">
        <v>0.0</v>
      </c>
      <c r="M20" s="71">
        <v>0.0</v>
      </c>
      <c r="N20" s="68">
        <f t="shared" si="3"/>
        <v>0</v>
      </c>
      <c r="O20" s="71">
        <v>0.0</v>
      </c>
      <c r="P20" s="71">
        <v>0.0</v>
      </c>
      <c r="Q20" s="68">
        <f t="shared" si="4"/>
        <v>0</v>
      </c>
      <c r="R20" s="71">
        <f t="shared" ref="R20:S20" si="53">L20-O20</f>
        <v>0</v>
      </c>
      <c r="S20" s="71">
        <f t="shared" si="53"/>
        <v>0</v>
      </c>
      <c r="T20" s="68">
        <f t="shared" si="6"/>
        <v>0</v>
      </c>
      <c r="U20" s="71">
        <f t="shared" ref="U20:V20" si="54">R20*0.55</f>
        <v>0</v>
      </c>
      <c r="V20" s="71">
        <f t="shared" si="54"/>
        <v>0</v>
      </c>
      <c r="W20" s="68">
        <f t="shared" si="8"/>
        <v>0</v>
      </c>
      <c r="X20" s="71">
        <v>0.0</v>
      </c>
      <c r="Y20" s="71">
        <v>0.0</v>
      </c>
      <c r="Z20" s="68">
        <f t="shared" si="9"/>
        <v>0</v>
      </c>
      <c r="AA20" s="71">
        <f t="shared" ref="AA20:AB20" si="55">X20*0.95</f>
        <v>0</v>
      </c>
      <c r="AB20" s="71">
        <f t="shared" si="55"/>
        <v>0</v>
      </c>
      <c r="AC20" s="68">
        <f t="shared" si="11"/>
        <v>0</v>
      </c>
      <c r="AD20" s="71">
        <v>0.0</v>
      </c>
      <c r="AE20" s="71">
        <v>0.0</v>
      </c>
      <c r="AF20" s="68">
        <f t="shared" si="12"/>
        <v>0</v>
      </c>
      <c r="AG20" s="71">
        <f t="shared" ref="AG20:AH20" si="56">AD20/1.05506</f>
        <v>0</v>
      </c>
      <c r="AH20" s="71">
        <f t="shared" si="56"/>
        <v>0</v>
      </c>
      <c r="AI20" s="68">
        <f t="shared" si="14"/>
        <v>0</v>
      </c>
    </row>
    <row r="21" ht="14.25" customHeight="1">
      <c r="B21" s="66">
        <v>45879.0</v>
      </c>
      <c r="C21" s="70"/>
      <c r="D21" s="70"/>
      <c r="E21" s="68">
        <f t="shared" si="1"/>
        <v>0</v>
      </c>
      <c r="F21" s="71">
        <v>0.0</v>
      </c>
      <c r="G21" s="72">
        <v>0.0</v>
      </c>
      <c r="H21" s="68">
        <f t="shared" si="15"/>
        <v>0</v>
      </c>
      <c r="I21" s="73">
        <f t="shared" ref="I21:J21" si="57">F21*55000*0.35/1000/0.55</f>
        <v>0</v>
      </c>
      <c r="J21" s="73">
        <f t="shared" si="57"/>
        <v>0</v>
      </c>
      <c r="K21" s="68">
        <f t="shared" si="17"/>
        <v>0</v>
      </c>
      <c r="L21" s="71">
        <v>0.0</v>
      </c>
      <c r="M21" s="71">
        <v>0.0</v>
      </c>
      <c r="N21" s="68">
        <f t="shared" si="3"/>
        <v>0</v>
      </c>
      <c r="O21" s="71">
        <v>0.0</v>
      </c>
      <c r="P21" s="71">
        <v>0.0</v>
      </c>
      <c r="Q21" s="68">
        <f t="shared" si="4"/>
        <v>0</v>
      </c>
      <c r="R21" s="71">
        <f t="shared" ref="R21:S21" si="58">L21-O21</f>
        <v>0</v>
      </c>
      <c r="S21" s="71">
        <f t="shared" si="58"/>
        <v>0</v>
      </c>
      <c r="T21" s="68">
        <f t="shared" si="6"/>
        <v>0</v>
      </c>
      <c r="U21" s="71">
        <f t="shared" ref="U21:V21" si="59">R21*0.55</f>
        <v>0</v>
      </c>
      <c r="V21" s="71">
        <f t="shared" si="59"/>
        <v>0</v>
      </c>
      <c r="W21" s="68">
        <f t="shared" si="8"/>
        <v>0</v>
      </c>
      <c r="X21" s="71">
        <v>0.0</v>
      </c>
      <c r="Y21" s="71">
        <v>0.0</v>
      </c>
      <c r="Z21" s="68">
        <f t="shared" si="9"/>
        <v>0</v>
      </c>
      <c r="AA21" s="71">
        <f t="shared" ref="AA21:AB21" si="60">X21*0.95</f>
        <v>0</v>
      </c>
      <c r="AB21" s="71">
        <f t="shared" si="60"/>
        <v>0</v>
      </c>
      <c r="AC21" s="68">
        <f t="shared" si="11"/>
        <v>0</v>
      </c>
      <c r="AD21" s="71">
        <v>0.0</v>
      </c>
      <c r="AE21" s="71">
        <v>0.0</v>
      </c>
      <c r="AF21" s="68">
        <f t="shared" si="12"/>
        <v>0</v>
      </c>
      <c r="AG21" s="71">
        <f t="shared" ref="AG21:AH21" si="61">AD21/1.05506</f>
        <v>0</v>
      </c>
      <c r="AH21" s="71">
        <f t="shared" si="61"/>
        <v>0</v>
      </c>
      <c r="AI21" s="68">
        <f t="shared" si="14"/>
        <v>0</v>
      </c>
    </row>
    <row r="22" ht="14.25" customHeight="1">
      <c r="B22" s="66">
        <v>45880.0</v>
      </c>
      <c r="C22" s="70"/>
      <c r="D22" s="70"/>
      <c r="E22" s="68">
        <f t="shared" si="1"/>
        <v>0</v>
      </c>
      <c r="F22" s="71">
        <v>0.0</v>
      </c>
      <c r="G22" s="72">
        <v>0.0</v>
      </c>
      <c r="H22" s="68">
        <f t="shared" si="15"/>
        <v>0</v>
      </c>
      <c r="I22" s="73">
        <f t="shared" ref="I22:J22" si="62">F22*55000*0.35/1000/0.55</f>
        <v>0</v>
      </c>
      <c r="J22" s="73">
        <f t="shared" si="62"/>
        <v>0</v>
      </c>
      <c r="K22" s="68">
        <f t="shared" si="17"/>
        <v>0</v>
      </c>
      <c r="L22" s="71">
        <v>0.0</v>
      </c>
      <c r="M22" s="71">
        <v>0.0</v>
      </c>
      <c r="N22" s="68">
        <f t="shared" si="3"/>
        <v>0</v>
      </c>
      <c r="O22" s="71">
        <v>0.0</v>
      </c>
      <c r="P22" s="71">
        <v>0.0</v>
      </c>
      <c r="Q22" s="68">
        <f t="shared" si="4"/>
        <v>0</v>
      </c>
      <c r="R22" s="71">
        <f t="shared" ref="R22:S22" si="63">L22-O22</f>
        <v>0</v>
      </c>
      <c r="S22" s="71">
        <f t="shared" si="63"/>
        <v>0</v>
      </c>
      <c r="T22" s="68">
        <f t="shared" si="6"/>
        <v>0</v>
      </c>
      <c r="U22" s="71">
        <f t="shared" ref="U22:V22" si="64">R22*0.55</f>
        <v>0</v>
      </c>
      <c r="V22" s="71">
        <f t="shared" si="64"/>
        <v>0</v>
      </c>
      <c r="W22" s="68">
        <f t="shared" si="8"/>
        <v>0</v>
      </c>
      <c r="X22" s="71">
        <v>0.0</v>
      </c>
      <c r="Y22" s="71">
        <v>0.0</v>
      </c>
      <c r="Z22" s="68">
        <f t="shared" si="9"/>
        <v>0</v>
      </c>
      <c r="AA22" s="71">
        <f t="shared" ref="AA22:AB22" si="65">X22*0.95</f>
        <v>0</v>
      </c>
      <c r="AB22" s="71">
        <f t="shared" si="65"/>
        <v>0</v>
      </c>
      <c r="AC22" s="68">
        <f t="shared" si="11"/>
        <v>0</v>
      </c>
      <c r="AD22" s="71">
        <v>0.0</v>
      </c>
      <c r="AE22" s="71">
        <v>0.0</v>
      </c>
      <c r="AF22" s="68">
        <f t="shared" si="12"/>
        <v>0</v>
      </c>
      <c r="AG22" s="71">
        <f t="shared" ref="AG22:AH22" si="66">AD22/1.05506</f>
        <v>0</v>
      </c>
      <c r="AH22" s="71">
        <f t="shared" si="66"/>
        <v>0</v>
      </c>
      <c r="AI22" s="68">
        <f t="shared" si="14"/>
        <v>0</v>
      </c>
    </row>
    <row r="23" ht="14.25" customHeight="1">
      <c r="B23" s="66">
        <v>45881.0</v>
      </c>
      <c r="C23" s="70"/>
      <c r="D23" s="70"/>
      <c r="E23" s="68">
        <f t="shared" si="1"/>
        <v>0</v>
      </c>
      <c r="F23" s="71">
        <v>0.0</v>
      </c>
      <c r="G23" s="72">
        <v>0.0</v>
      </c>
      <c r="H23" s="68">
        <f t="shared" si="15"/>
        <v>0</v>
      </c>
      <c r="I23" s="73">
        <f t="shared" ref="I23:J23" si="67">F23*55000*0.35/1000/0.55</f>
        <v>0</v>
      </c>
      <c r="J23" s="73">
        <f t="shared" si="67"/>
        <v>0</v>
      </c>
      <c r="K23" s="68">
        <f t="shared" si="17"/>
        <v>0</v>
      </c>
      <c r="L23" s="71">
        <v>0.0</v>
      </c>
      <c r="M23" s="71">
        <v>0.0</v>
      </c>
      <c r="N23" s="68">
        <f t="shared" si="3"/>
        <v>0</v>
      </c>
      <c r="O23" s="71">
        <v>0.0</v>
      </c>
      <c r="P23" s="71">
        <v>0.0</v>
      </c>
      <c r="Q23" s="68">
        <f t="shared" si="4"/>
        <v>0</v>
      </c>
      <c r="R23" s="71">
        <f t="shared" ref="R23:S23" si="68">L23-O23</f>
        <v>0</v>
      </c>
      <c r="S23" s="71">
        <f t="shared" si="68"/>
        <v>0</v>
      </c>
      <c r="T23" s="68">
        <f t="shared" si="6"/>
        <v>0</v>
      </c>
      <c r="U23" s="71">
        <f t="shared" ref="U23:V23" si="69">R23*0.55</f>
        <v>0</v>
      </c>
      <c r="V23" s="71">
        <f t="shared" si="69"/>
        <v>0</v>
      </c>
      <c r="W23" s="68">
        <f t="shared" si="8"/>
        <v>0</v>
      </c>
      <c r="X23" s="71">
        <v>0.0</v>
      </c>
      <c r="Y23" s="71">
        <v>0.0</v>
      </c>
      <c r="Z23" s="68">
        <f t="shared" si="9"/>
        <v>0</v>
      </c>
      <c r="AA23" s="71">
        <f t="shared" ref="AA23:AB23" si="70">X23*0.95</f>
        <v>0</v>
      </c>
      <c r="AB23" s="71">
        <f t="shared" si="70"/>
        <v>0</v>
      </c>
      <c r="AC23" s="68">
        <f t="shared" si="11"/>
        <v>0</v>
      </c>
      <c r="AD23" s="71">
        <v>0.0</v>
      </c>
      <c r="AE23" s="71">
        <v>0.0</v>
      </c>
      <c r="AF23" s="68">
        <f t="shared" si="12"/>
        <v>0</v>
      </c>
      <c r="AG23" s="71">
        <f t="shared" ref="AG23:AH23" si="71">AD23/1.05506</f>
        <v>0</v>
      </c>
      <c r="AH23" s="71">
        <f t="shared" si="71"/>
        <v>0</v>
      </c>
      <c r="AI23" s="68">
        <f t="shared" si="14"/>
        <v>0</v>
      </c>
    </row>
    <row r="24" ht="14.25" customHeight="1">
      <c r="B24" s="66">
        <v>45882.0</v>
      </c>
      <c r="C24" s="70"/>
      <c r="D24" s="70"/>
      <c r="E24" s="68">
        <f t="shared" si="1"/>
        <v>0</v>
      </c>
      <c r="F24" s="71">
        <v>0.0</v>
      </c>
      <c r="G24" s="72">
        <v>0.0</v>
      </c>
      <c r="H24" s="68">
        <f t="shared" si="15"/>
        <v>0</v>
      </c>
      <c r="I24" s="73">
        <f t="shared" ref="I24:J24" si="72">F24*55000*0.35/1000/0.55</f>
        <v>0</v>
      </c>
      <c r="J24" s="73">
        <f t="shared" si="72"/>
        <v>0</v>
      </c>
      <c r="K24" s="68">
        <f t="shared" si="17"/>
        <v>0</v>
      </c>
      <c r="L24" s="71">
        <v>0.0</v>
      </c>
      <c r="M24" s="71">
        <v>0.0</v>
      </c>
      <c r="N24" s="68">
        <f t="shared" si="3"/>
        <v>0</v>
      </c>
      <c r="O24" s="71">
        <v>0.0</v>
      </c>
      <c r="P24" s="71">
        <v>0.0</v>
      </c>
      <c r="Q24" s="68">
        <f t="shared" si="4"/>
        <v>0</v>
      </c>
      <c r="R24" s="71">
        <f t="shared" ref="R24:S24" si="73">L24-O24</f>
        <v>0</v>
      </c>
      <c r="S24" s="71">
        <f t="shared" si="73"/>
        <v>0</v>
      </c>
      <c r="T24" s="68">
        <f t="shared" si="6"/>
        <v>0</v>
      </c>
      <c r="U24" s="71">
        <f t="shared" ref="U24:V24" si="74">R24*0.55</f>
        <v>0</v>
      </c>
      <c r="V24" s="71">
        <f t="shared" si="74"/>
        <v>0</v>
      </c>
      <c r="W24" s="68">
        <f t="shared" si="8"/>
        <v>0</v>
      </c>
      <c r="X24" s="71">
        <v>0.0</v>
      </c>
      <c r="Y24" s="71">
        <v>0.0</v>
      </c>
      <c r="Z24" s="68">
        <f t="shared" si="9"/>
        <v>0</v>
      </c>
      <c r="AA24" s="71">
        <f t="shared" ref="AA24:AB24" si="75">X24*0.95</f>
        <v>0</v>
      </c>
      <c r="AB24" s="71">
        <f t="shared" si="75"/>
        <v>0</v>
      </c>
      <c r="AC24" s="68">
        <f t="shared" si="11"/>
        <v>0</v>
      </c>
      <c r="AD24" s="71">
        <v>0.0</v>
      </c>
      <c r="AE24" s="71">
        <v>0.0</v>
      </c>
      <c r="AF24" s="68">
        <f t="shared" si="12"/>
        <v>0</v>
      </c>
      <c r="AG24" s="71">
        <f t="shared" ref="AG24:AH24" si="76">AD24/1.05506</f>
        <v>0</v>
      </c>
      <c r="AH24" s="71">
        <f t="shared" si="76"/>
        <v>0</v>
      </c>
      <c r="AI24" s="68">
        <f t="shared" si="14"/>
        <v>0</v>
      </c>
    </row>
    <row r="25" ht="14.25" customHeight="1">
      <c r="B25" s="66">
        <v>45883.0</v>
      </c>
      <c r="C25" s="70"/>
      <c r="D25" s="70"/>
      <c r="E25" s="68">
        <f t="shared" si="1"/>
        <v>0</v>
      </c>
      <c r="F25" s="71">
        <v>0.0</v>
      </c>
      <c r="G25" s="72">
        <v>0.0</v>
      </c>
      <c r="H25" s="68">
        <f t="shared" si="15"/>
        <v>0</v>
      </c>
      <c r="I25" s="73">
        <f t="shared" ref="I25:J25" si="77">F25*55000*0.35/1000/0.55</f>
        <v>0</v>
      </c>
      <c r="J25" s="73">
        <f t="shared" si="77"/>
        <v>0</v>
      </c>
      <c r="K25" s="68">
        <f t="shared" si="17"/>
        <v>0</v>
      </c>
      <c r="L25" s="71">
        <v>0.0</v>
      </c>
      <c r="M25" s="71">
        <v>0.0</v>
      </c>
      <c r="N25" s="68">
        <f t="shared" si="3"/>
        <v>0</v>
      </c>
      <c r="O25" s="71">
        <v>0.0</v>
      </c>
      <c r="P25" s="71">
        <v>0.0</v>
      </c>
      <c r="Q25" s="68">
        <f t="shared" si="4"/>
        <v>0</v>
      </c>
      <c r="R25" s="71">
        <f t="shared" ref="R25:S25" si="78">L25-O25</f>
        <v>0</v>
      </c>
      <c r="S25" s="71">
        <f t="shared" si="78"/>
        <v>0</v>
      </c>
      <c r="T25" s="68">
        <f t="shared" si="6"/>
        <v>0</v>
      </c>
      <c r="U25" s="71">
        <f t="shared" ref="U25:V25" si="79">R25*0.55</f>
        <v>0</v>
      </c>
      <c r="V25" s="71">
        <f t="shared" si="79"/>
        <v>0</v>
      </c>
      <c r="W25" s="68">
        <f t="shared" si="8"/>
        <v>0</v>
      </c>
      <c r="X25" s="71">
        <v>0.0</v>
      </c>
      <c r="Y25" s="71">
        <v>0.0</v>
      </c>
      <c r="Z25" s="68">
        <f t="shared" si="9"/>
        <v>0</v>
      </c>
      <c r="AA25" s="71">
        <f t="shared" ref="AA25:AB25" si="80">X25*0.95</f>
        <v>0</v>
      </c>
      <c r="AB25" s="71">
        <f t="shared" si="80"/>
        <v>0</v>
      </c>
      <c r="AC25" s="68">
        <f t="shared" si="11"/>
        <v>0</v>
      </c>
      <c r="AD25" s="71">
        <v>0.0</v>
      </c>
      <c r="AE25" s="71">
        <v>0.0</v>
      </c>
      <c r="AF25" s="68">
        <f t="shared" si="12"/>
        <v>0</v>
      </c>
      <c r="AG25" s="71">
        <f t="shared" ref="AG25:AH25" si="81">AD25/1.05506</f>
        <v>0</v>
      </c>
      <c r="AH25" s="71">
        <f t="shared" si="81"/>
        <v>0</v>
      </c>
      <c r="AI25" s="68">
        <f t="shared" si="14"/>
        <v>0</v>
      </c>
    </row>
    <row r="26" ht="14.25" customHeight="1">
      <c r="B26" s="66">
        <v>45884.0</v>
      </c>
      <c r="C26" s="70"/>
      <c r="D26" s="70"/>
      <c r="E26" s="68">
        <f t="shared" si="1"/>
        <v>0</v>
      </c>
      <c r="F26" s="71">
        <v>0.0</v>
      </c>
      <c r="G26" s="72">
        <v>0.0</v>
      </c>
      <c r="H26" s="68">
        <f t="shared" si="15"/>
        <v>0</v>
      </c>
      <c r="I26" s="73">
        <f t="shared" ref="I26:J26" si="82">F26*55000*0.35/1000/0.55</f>
        <v>0</v>
      </c>
      <c r="J26" s="73">
        <f t="shared" si="82"/>
        <v>0</v>
      </c>
      <c r="K26" s="68">
        <f t="shared" si="17"/>
        <v>0</v>
      </c>
      <c r="L26" s="71">
        <v>0.0</v>
      </c>
      <c r="M26" s="71">
        <v>0.0</v>
      </c>
      <c r="N26" s="68">
        <f t="shared" si="3"/>
        <v>0</v>
      </c>
      <c r="O26" s="71">
        <v>0.0</v>
      </c>
      <c r="P26" s="71">
        <v>0.0</v>
      </c>
      <c r="Q26" s="68">
        <f t="shared" si="4"/>
        <v>0</v>
      </c>
      <c r="R26" s="71">
        <f t="shared" ref="R26:S26" si="83">L26-O26</f>
        <v>0</v>
      </c>
      <c r="S26" s="71">
        <f t="shared" si="83"/>
        <v>0</v>
      </c>
      <c r="T26" s="68">
        <f t="shared" si="6"/>
        <v>0</v>
      </c>
      <c r="U26" s="71">
        <f t="shared" ref="U26:V26" si="84">R26*0.55</f>
        <v>0</v>
      </c>
      <c r="V26" s="71">
        <f t="shared" si="84"/>
        <v>0</v>
      </c>
      <c r="W26" s="68">
        <f t="shared" si="8"/>
        <v>0</v>
      </c>
      <c r="X26" s="71">
        <v>0.0</v>
      </c>
      <c r="Y26" s="71">
        <v>0.0</v>
      </c>
      <c r="Z26" s="68">
        <f t="shared" si="9"/>
        <v>0</v>
      </c>
      <c r="AA26" s="71">
        <f t="shared" ref="AA26:AB26" si="85">X26*0.95</f>
        <v>0</v>
      </c>
      <c r="AB26" s="71">
        <f t="shared" si="85"/>
        <v>0</v>
      </c>
      <c r="AC26" s="68">
        <f t="shared" si="11"/>
        <v>0</v>
      </c>
      <c r="AD26" s="71">
        <v>0.0</v>
      </c>
      <c r="AE26" s="71">
        <v>0.0</v>
      </c>
      <c r="AF26" s="68">
        <f t="shared" si="12"/>
        <v>0</v>
      </c>
      <c r="AG26" s="71">
        <f t="shared" ref="AG26:AH26" si="86">AD26/1.05506</f>
        <v>0</v>
      </c>
      <c r="AH26" s="71">
        <f t="shared" si="86"/>
        <v>0</v>
      </c>
      <c r="AI26" s="68">
        <f t="shared" si="14"/>
        <v>0</v>
      </c>
    </row>
    <row r="27" ht="14.25" customHeight="1">
      <c r="B27" s="66">
        <v>45885.0</v>
      </c>
      <c r="C27" s="70"/>
      <c r="D27" s="70"/>
      <c r="E27" s="68">
        <f t="shared" si="1"/>
        <v>0</v>
      </c>
      <c r="F27" s="71">
        <v>0.0</v>
      </c>
      <c r="G27" s="72">
        <v>0.0</v>
      </c>
      <c r="H27" s="68">
        <f t="shared" si="15"/>
        <v>0</v>
      </c>
      <c r="I27" s="73">
        <f t="shared" ref="I27:J27" si="87">F27*55000*0.35/1000/0.55</f>
        <v>0</v>
      </c>
      <c r="J27" s="73">
        <f t="shared" si="87"/>
        <v>0</v>
      </c>
      <c r="K27" s="68">
        <f t="shared" si="17"/>
        <v>0</v>
      </c>
      <c r="L27" s="71">
        <v>0.0</v>
      </c>
      <c r="M27" s="71">
        <v>0.0</v>
      </c>
      <c r="N27" s="68">
        <f t="shared" si="3"/>
        <v>0</v>
      </c>
      <c r="O27" s="71">
        <v>0.0</v>
      </c>
      <c r="P27" s="71">
        <v>0.0</v>
      </c>
      <c r="Q27" s="68">
        <f t="shared" si="4"/>
        <v>0</v>
      </c>
      <c r="R27" s="71">
        <f t="shared" ref="R27:S27" si="88">L27-O27</f>
        <v>0</v>
      </c>
      <c r="S27" s="71">
        <f t="shared" si="88"/>
        <v>0</v>
      </c>
      <c r="T27" s="68">
        <f t="shared" si="6"/>
        <v>0</v>
      </c>
      <c r="U27" s="71">
        <f t="shared" ref="U27:V27" si="89">R27*0.55</f>
        <v>0</v>
      </c>
      <c r="V27" s="71">
        <f t="shared" si="89"/>
        <v>0</v>
      </c>
      <c r="W27" s="68">
        <f t="shared" si="8"/>
        <v>0</v>
      </c>
      <c r="X27" s="71">
        <v>0.0</v>
      </c>
      <c r="Y27" s="71">
        <v>0.0</v>
      </c>
      <c r="Z27" s="68">
        <f t="shared" si="9"/>
        <v>0</v>
      </c>
      <c r="AA27" s="71">
        <f t="shared" ref="AA27:AB27" si="90">X27*0.95</f>
        <v>0</v>
      </c>
      <c r="AB27" s="71">
        <f t="shared" si="90"/>
        <v>0</v>
      </c>
      <c r="AC27" s="68">
        <f t="shared" si="11"/>
        <v>0</v>
      </c>
      <c r="AD27" s="71">
        <v>0.0</v>
      </c>
      <c r="AE27" s="71">
        <v>0.0</v>
      </c>
      <c r="AF27" s="68">
        <f t="shared" si="12"/>
        <v>0</v>
      </c>
      <c r="AG27" s="71">
        <f t="shared" ref="AG27:AH27" si="91">AD27/1.05506</f>
        <v>0</v>
      </c>
      <c r="AH27" s="71">
        <f t="shared" si="91"/>
        <v>0</v>
      </c>
      <c r="AI27" s="68">
        <f t="shared" si="14"/>
        <v>0</v>
      </c>
    </row>
    <row r="28" ht="14.25" customHeight="1">
      <c r="B28" s="66">
        <v>45886.0</v>
      </c>
      <c r="C28" s="70"/>
      <c r="D28" s="70"/>
      <c r="E28" s="68">
        <f t="shared" si="1"/>
        <v>0</v>
      </c>
      <c r="F28" s="71">
        <v>0.0</v>
      </c>
      <c r="G28" s="72">
        <v>0.0</v>
      </c>
      <c r="H28" s="68">
        <f t="shared" si="15"/>
        <v>0</v>
      </c>
      <c r="I28" s="73">
        <f t="shared" ref="I28:J28" si="92">F28*55000*0.35/1000/0.55</f>
        <v>0</v>
      </c>
      <c r="J28" s="73">
        <f t="shared" si="92"/>
        <v>0</v>
      </c>
      <c r="K28" s="68">
        <f t="shared" si="17"/>
        <v>0</v>
      </c>
      <c r="L28" s="71">
        <v>0.0</v>
      </c>
      <c r="M28" s="71">
        <v>0.0</v>
      </c>
      <c r="N28" s="68">
        <f t="shared" si="3"/>
        <v>0</v>
      </c>
      <c r="O28" s="71">
        <v>0.0</v>
      </c>
      <c r="P28" s="71">
        <v>0.0</v>
      </c>
      <c r="Q28" s="68">
        <f t="shared" si="4"/>
        <v>0</v>
      </c>
      <c r="R28" s="71">
        <f t="shared" ref="R28:S28" si="93">L28-O28</f>
        <v>0</v>
      </c>
      <c r="S28" s="71">
        <f t="shared" si="93"/>
        <v>0</v>
      </c>
      <c r="T28" s="68">
        <f t="shared" si="6"/>
        <v>0</v>
      </c>
      <c r="U28" s="71">
        <f t="shared" ref="U28:V28" si="94">R28*0.55</f>
        <v>0</v>
      </c>
      <c r="V28" s="71">
        <f t="shared" si="94"/>
        <v>0</v>
      </c>
      <c r="W28" s="68">
        <f t="shared" si="8"/>
        <v>0</v>
      </c>
      <c r="X28" s="71">
        <v>0.0</v>
      </c>
      <c r="Y28" s="71">
        <v>0.0</v>
      </c>
      <c r="Z28" s="68">
        <f t="shared" si="9"/>
        <v>0</v>
      </c>
      <c r="AA28" s="71">
        <f t="shared" ref="AA28:AB28" si="95">X28*0.95</f>
        <v>0</v>
      </c>
      <c r="AB28" s="71">
        <f t="shared" si="95"/>
        <v>0</v>
      </c>
      <c r="AC28" s="68">
        <f t="shared" si="11"/>
        <v>0</v>
      </c>
      <c r="AD28" s="71">
        <v>0.0</v>
      </c>
      <c r="AE28" s="71">
        <v>0.0</v>
      </c>
      <c r="AF28" s="68">
        <f t="shared" si="12"/>
        <v>0</v>
      </c>
      <c r="AG28" s="71">
        <f t="shared" ref="AG28:AH28" si="96">AD28/1.05506</f>
        <v>0</v>
      </c>
      <c r="AH28" s="71">
        <f t="shared" si="96"/>
        <v>0</v>
      </c>
      <c r="AI28" s="68">
        <f t="shared" si="14"/>
        <v>0</v>
      </c>
    </row>
    <row r="29" ht="14.25" customHeight="1">
      <c r="B29" s="66">
        <v>45887.0</v>
      </c>
      <c r="C29" s="70"/>
      <c r="D29" s="70"/>
      <c r="E29" s="68">
        <f t="shared" si="1"/>
        <v>0</v>
      </c>
      <c r="F29" s="71">
        <v>0.0</v>
      </c>
      <c r="G29" s="72">
        <v>0.0</v>
      </c>
      <c r="H29" s="68">
        <f t="shared" si="15"/>
        <v>0</v>
      </c>
      <c r="I29" s="73">
        <f t="shared" ref="I29:J29" si="97">F29*55000*0.35/1000/0.55</f>
        <v>0</v>
      </c>
      <c r="J29" s="73">
        <f t="shared" si="97"/>
        <v>0</v>
      </c>
      <c r="K29" s="68">
        <f t="shared" si="17"/>
        <v>0</v>
      </c>
      <c r="L29" s="71">
        <v>0.0</v>
      </c>
      <c r="M29" s="71">
        <v>0.0</v>
      </c>
      <c r="N29" s="68">
        <f t="shared" si="3"/>
        <v>0</v>
      </c>
      <c r="O29" s="71">
        <v>0.0</v>
      </c>
      <c r="P29" s="71">
        <v>0.0</v>
      </c>
      <c r="Q29" s="68">
        <f t="shared" si="4"/>
        <v>0</v>
      </c>
      <c r="R29" s="71">
        <f t="shared" ref="R29:S29" si="98">L29-O29</f>
        <v>0</v>
      </c>
      <c r="S29" s="71">
        <f t="shared" si="98"/>
        <v>0</v>
      </c>
      <c r="T29" s="68">
        <f t="shared" si="6"/>
        <v>0</v>
      </c>
      <c r="U29" s="71">
        <f t="shared" ref="U29:V29" si="99">R29*0.55</f>
        <v>0</v>
      </c>
      <c r="V29" s="71">
        <f t="shared" si="99"/>
        <v>0</v>
      </c>
      <c r="W29" s="68">
        <f t="shared" si="8"/>
        <v>0</v>
      </c>
      <c r="X29" s="71">
        <v>0.0</v>
      </c>
      <c r="Y29" s="71">
        <v>0.0</v>
      </c>
      <c r="Z29" s="68">
        <f t="shared" si="9"/>
        <v>0</v>
      </c>
      <c r="AA29" s="71">
        <f t="shared" ref="AA29:AB29" si="100">X29*0.95</f>
        <v>0</v>
      </c>
      <c r="AB29" s="71">
        <f t="shared" si="100"/>
        <v>0</v>
      </c>
      <c r="AC29" s="68">
        <f t="shared" si="11"/>
        <v>0</v>
      </c>
      <c r="AD29" s="71">
        <v>0.0</v>
      </c>
      <c r="AE29" s="71">
        <v>0.0</v>
      </c>
      <c r="AF29" s="68">
        <f t="shared" si="12"/>
        <v>0</v>
      </c>
      <c r="AG29" s="71">
        <f t="shared" ref="AG29:AH29" si="101">AD29/1.05506</f>
        <v>0</v>
      </c>
      <c r="AH29" s="71">
        <f t="shared" si="101"/>
        <v>0</v>
      </c>
      <c r="AI29" s="68">
        <f t="shared" si="14"/>
        <v>0</v>
      </c>
    </row>
    <row r="30" ht="14.25" customHeight="1">
      <c r="B30" s="66">
        <v>45888.0</v>
      </c>
      <c r="C30" s="70"/>
      <c r="D30" s="70"/>
      <c r="E30" s="68">
        <f t="shared" si="1"/>
        <v>0</v>
      </c>
      <c r="F30" s="71">
        <v>0.0</v>
      </c>
      <c r="G30" s="72">
        <v>0.0</v>
      </c>
      <c r="H30" s="68">
        <f t="shared" si="15"/>
        <v>0</v>
      </c>
      <c r="I30" s="73">
        <f t="shared" ref="I30:J30" si="102">F30*55000*0.35/1000/0.55</f>
        <v>0</v>
      </c>
      <c r="J30" s="73">
        <f t="shared" si="102"/>
        <v>0</v>
      </c>
      <c r="K30" s="68">
        <f t="shared" si="17"/>
        <v>0</v>
      </c>
      <c r="L30" s="71">
        <v>0.0</v>
      </c>
      <c r="M30" s="71">
        <v>0.0</v>
      </c>
      <c r="N30" s="68">
        <f t="shared" si="3"/>
        <v>0</v>
      </c>
      <c r="O30" s="71">
        <v>0.0</v>
      </c>
      <c r="P30" s="71">
        <v>0.0</v>
      </c>
      <c r="Q30" s="68">
        <f t="shared" si="4"/>
        <v>0</v>
      </c>
      <c r="R30" s="71">
        <f t="shared" ref="R30:S30" si="103">L30-O30</f>
        <v>0</v>
      </c>
      <c r="S30" s="71">
        <f t="shared" si="103"/>
        <v>0</v>
      </c>
      <c r="T30" s="68">
        <f t="shared" si="6"/>
        <v>0</v>
      </c>
      <c r="U30" s="71">
        <f t="shared" ref="U30:V30" si="104">R30*0.55</f>
        <v>0</v>
      </c>
      <c r="V30" s="71">
        <f t="shared" si="104"/>
        <v>0</v>
      </c>
      <c r="W30" s="68">
        <f t="shared" si="8"/>
        <v>0</v>
      </c>
      <c r="X30" s="71">
        <v>0.0</v>
      </c>
      <c r="Y30" s="71">
        <v>0.0</v>
      </c>
      <c r="Z30" s="68">
        <f t="shared" si="9"/>
        <v>0</v>
      </c>
      <c r="AA30" s="71">
        <f t="shared" ref="AA30:AB30" si="105">X30*0.95</f>
        <v>0</v>
      </c>
      <c r="AB30" s="71">
        <f t="shared" si="105"/>
        <v>0</v>
      </c>
      <c r="AC30" s="68">
        <f t="shared" si="11"/>
        <v>0</v>
      </c>
      <c r="AD30" s="71">
        <v>0.0</v>
      </c>
      <c r="AE30" s="71">
        <v>0.0</v>
      </c>
      <c r="AF30" s="68">
        <f t="shared" si="12"/>
        <v>0</v>
      </c>
      <c r="AG30" s="71">
        <f t="shared" ref="AG30:AH30" si="106">AD30/1.05506</f>
        <v>0</v>
      </c>
      <c r="AH30" s="71">
        <f t="shared" si="106"/>
        <v>0</v>
      </c>
      <c r="AI30" s="68">
        <f t="shared" si="14"/>
        <v>0</v>
      </c>
    </row>
    <row r="31" ht="14.25" customHeight="1">
      <c r="B31" s="66">
        <v>45889.0</v>
      </c>
      <c r="C31" s="70"/>
      <c r="D31" s="70"/>
      <c r="E31" s="68">
        <f t="shared" si="1"/>
        <v>0</v>
      </c>
      <c r="F31" s="71">
        <v>0.0</v>
      </c>
      <c r="G31" s="72">
        <v>0.0</v>
      </c>
      <c r="H31" s="68">
        <f t="shared" si="15"/>
        <v>0</v>
      </c>
      <c r="I31" s="73">
        <f t="shared" ref="I31:J31" si="107">F31*55000*0.35/1000/0.55</f>
        <v>0</v>
      </c>
      <c r="J31" s="73">
        <f t="shared" si="107"/>
        <v>0</v>
      </c>
      <c r="K31" s="68">
        <f t="shared" si="17"/>
        <v>0</v>
      </c>
      <c r="L31" s="71">
        <v>0.0</v>
      </c>
      <c r="M31" s="71">
        <v>0.0</v>
      </c>
      <c r="N31" s="68">
        <f t="shared" si="3"/>
        <v>0</v>
      </c>
      <c r="O31" s="71">
        <v>0.0</v>
      </c>
      <c r="P31" s="71">
        <v>0.0</v>
      </c>
      <c r="Q31" s="68">
        <f t="shared" si="4"/>
        <v>0</v>
      </c>
      <c r="R31" s="71">
        <f t="shared" ref="R31:S31" si="108">L31-O31</f>
        <v>0</v>
      </c>
      <c r="S31" s="71">
        <f t="shared" si="108"/>
        <v>0</v>
      </c>
      <c r="T31" s="68">
        <f t="shared" si="6"/>
        <v>0</v>
      </c>
      <c r="U31" s="71">
        <f t="shared" ref="U31:V31" si="109">R31*0.55</f>
        <v>0</v>
      </c>
      <c r="V31" s="71">
        <f t="shared" si="109"/>
        <v>0</v>
      </c>
      <c r="W31" s="68">
        <f t="shared" si="8"/>
        <v>0</v>
      </c>
      <c r="X31" s="71">
        <v>0.0</v>
      </c>
      <c r="Y31" s="71">
        <v>0.0</v>
      </c>
      <c r="Z31" s="68">
        <f t="shared" si="9"/>
        <v>0</v>
      </c>
      <c r="AA31" s="71">
        <f t="shared" ref="AA31:AB31" si="110">X31*0.95</f>
        <v>0</v>
      </c>
      <c r="AB31" s="71">
        <f t="shared" si="110"/>
        <v>0</v>
      </c>
      <c r="AC31" s="68">
        <f t="shared" si="11"/>
        <v>0</v>
      </c>
      <c r="AD31" s="71">
        <v>0.0</v>
      </c>
      <c r="AE31" s="71">
        <v>0.0</v>
      </c>
      <c r="AF31" s="68">
        <f t="shared" si="12"/>
        <v>0</v>
      </c>
      <c r="AG31" s="71">
        <f t="shared" ref="AG31:AH31" si="111">AD31/1.05506</f>
        <v>0</v>
      </c>
      <c r="AH31" s="71">
        <f t="shared" si="111"/>
        <v>0</v>
      </c>
      <c r="AI31" s="68">
        <f t="shared" si="14"/>
        <v>0</v>
      </c>
    </row>
    <row r="32" ht="14.25" customHeight="1">
      <c r="B32" s="66">
        <v>45890.0</v>
      </c>
      <c r="C32" s="70"/>
      <c r="D32" s="70"/>
      <c r="E32" s="68">
        <f t="shared" si="1"/>
        <v>0</v>
      </c>
      <c r="F32" s="71">
        <v>0.0</v>
      </c>
      <c r="G32" s="72">
        <v>0.0</v>
      </c>
      <c r="H32" s="68">
        <f t="shared" si="15"/>
        <v>0</v>
      </c>
      <c r="I32" s="73">
        <f t="shared" ref="I32:J32" si="112">F32*55000*0.35/1000/0.55</f>
        <v>0</v>
      </c>
      <c r="J32" s="73">
        <f t="shared" si="112"/>
        <v>0</v>
      </c>
      <c r="K32" s="68">
        <f t="shared" si="17"/>
        <v>0</v>
      </c>
      <c r="L32" s="71">
        <v>0.0</v>
      </c>
      <c r="M32" s="71">
        <v>0.0</v>
      </c>
      <c r="N32" s="68">
        <f t="shared" si="3"/>
        <v>0</v>
      </c>
      <c r="O32" s="71">
        <v>0.0</v>
      </c>
      <c r="P32" s="71">
        <v>0.0</v>
      </c>
      <c r="Q32" s="68">
        <f t="shared" si="4"/>
        <v>0</v>
      </c>
      <c r="R32" s="71">
        <f t="shared" ref="R32:S32" si="113">L32-O32</f>
        <v>0</v>
      </c>
      <c r="S32" s="71">
        <f t="shared" si="113"/>
        <v>0</v>
      </c>
      <c r="T32" s="68">
        <f t="shared" si="6"/>
        <v>0</v>
      </c>
      <c r="U32" s="71">
        <f t="shared" ref="U32:V32" si="114">R32*0.55</f>
        <v>0</v>
      </c>
      <c r="V32" s="71">
        <f t="shared" si="114"/>
        <v>0</v>
      </c>
      <c r="W32" s="68">
        <f t="shared" si="8"/>
        <v>0</v>
      </c>
      <c r="X32" s="71">
        <v>0.0</v>
      </c>
      <c r="Y32" s="71">
        <v>0.0</v>
      </c>
      <c r="Z32" s="68">
        <f t="shared" si="9"/>
        <v>0</v>
      </c>
      <c r="AA32" s="71">
        <f t="shared" ref="AA32:AB32" si="115">X32*0.95</f>
        <v>0</v>
      </c>
      <c r="AB32" s="71">
        <f t="shared" si="115"/>
        <v>0</v>
      </c>
      <c r="AC32" s="68">
        <f t="shared" si="11"/>
        <v>0</v>
      </c>
      <c r="AD32" s="71">
        <v>0.0</v>
      </c>
      <c r="AE32" s="71">
        <v>0.0</v>
      </c>
      <c r="AF32" s="68">
        <f t="shared" si="12"/>
        <v>0</v>
      </c>
      <c r="AG32" s="71">
        <f t="shared" ref="AG32:AH32" si="116">AD32/1.05506</f>
        <v>0</v>
      </c>
      <c r="AH32" s="71">
        <f t="shared" si="116"/>
        <v>0</v>
      </c>
      <c r="AI32" s="68">
        <f t="shared" si="14"/>
        <v>0</v>
      </c>
    </row>
    <row r="33" ht="14.25" customHeight="1">
      <c r="B33" s="66">
        <v>45891.0</v>
      </c>
      <c r="C33" s="70"/>
      <c r="D33" s="70"/>
      <c r="E33" s="68">
        <f t="shared" si="1"/>
        <v>0</v>
      </c>
      <c r="F33" s="71">
        <v>0.0</v>
      </c>
      <c r="G33" s="72">
        <v>0.0</v>
      </c>
      <c r="H33" s="68">
        <f t="shared" si="15"/>
        <v>0</v>
      </c>
      <c r="I33" s="73">
        <f t="shared" ref="I33:J33" si="117">F33*55000*0.35/1000/0.55</f>
        <v>0</v>
      </c>
      <c r="J33" s="73">
        <f t="shared" si="117"/>
        <v>0</v>
      </c>
      <c r="K33" s="68">
        <f t="shared" si="17"/>
        <v>0</v>
      </c>
      <c r="L33" s="71">
        <v>0.0</v>
      </c>
      <c r="M33" s="71">
        <v>0.0</v>
      </c>
      <c r="N33" s="68">
        <f t="shared" si="3"/>
        <v>0</v>
      </c>
      <c r="O33" s="71">
        <v>0.0</v>
      </c>
      <c r="P33" s="71">
        <v>0.0</v>
      </c>
      <c r="Q33" s="68">
        <f t="shared" si="4"/>
        <v>0</v>
      </c>
      <c r="R33" s="71">
        <f t="shared" ref="R33:S33" si="118">L33-O33</f>
        <v>0</v>
      </c>
      <c r="S33" s="71">
        <f t="shared" si="118"/>
        <v>0</v>
      </c>
      <c r="T33" s="68">
        <f t="shared" si="6"/>
        <v>0</v>
      </c>
      <c r="U33" s="71">
        <f t="shared" ref="U33:V33" si="119">R33*0.55</f>
        <v>0</v>
      </c>
      <c r="V33" s="71">
        <f t="shared" si="119"/>
        <v>0</v>
      </c>
      <c r="W33" s="68">
        <f t="shared" si="8"/>
        <v>0</v>
      </c>
      <c r="X33" s="71">
        <v>0.0</v>
      </c>
      <c r="Y33" s="71">
        <v>0.0</v>
      </c>
      <c r="Z33" s="68">
        <f t="shared" si="9"/>
        <v>0</v>
      </c>
      <c r="AA33" s="71">
        <f t="shared" ref="AA33:AB33" si="120">X33*0.95</f>
        <v>0</v>
      </c>
      <c r="AB33" s="71">
        <f t="shared" si="120"/>
        <v>0</v>
      </c>
      <c r="AC33" s="68">
        <f t="shared" si="11"/>
        <v>0</v>
      </c>
      <c r="AD33" s="71">
        <v>0.0</v>
      </c>
      <c r="AE33" s="71">
        <v>0.0</v>
      </c>
      <c r="AF33" s="68">
        <f t="shared" si="12"/>
        <v>0</v>
      </c>
      <c r="AG33" s="71">
        <f t="shared" ref="AG33:AH33" si="121">AD33/1.05506</f>
        <v>0</v>
      </c>
      <c r="AH33" s="71">
        <f t="shared" si="121"/>
        <v>0</v>
      </c>
      <c r="AI33" s="68">
        <f t="shared" si="14"/>
        <v>0</v>
      </c>
    </row>
    <row r="34" ht="14.25" customHeight="1">
      <c r="B34" s="66">
        <v>45892.0</v>
      </c>
      <c r="C34" s="70"/>
      <c r="D34" s="70"/>
      <c r="E34" s="68">
        <f t="shared" si="1"/>
        <v>0</v>
      </c>
      <c r="F34" s="71">
        <v>0.0</v>
      </c>
      <c r="G34" s="72">
        <v>0.0</v>
      </c>
      <c r="H34" s="68">
        <f t="shared" si="15"/>
        <v>0</v>
      </c>
      <c r="I34" s="73">
        <f t="shared" ref="I34:J34" si="122">F34*55000*0.35/1000/0.55</f>
        <v>0</v>
      </c>
      <c r="J34" s="73">
        <f t="shared" si="122"/>
        <v>0</v>
      </c>
      <c r="K34" s="68">
        <f t="shared" si="17"/>
        <v>0</v>
      </c>
      <c r="L34" s="71">
        <v>0.0</v>
      </c>
      <c r="M34" s="71">
        <v>0.0</v>
      </c>
      <c r="N34" s="68">
        <f t="shared" si="3"/>
        <v>0</v>
      </c>
      <c r="O34" s="71">
        <v>0.0</v>
      </c>
      <c r="P34" s="71">
        <v>0.0</v>
      </c>
      <c r="Q34" s="68">
        <f t="shared" si="4"/>
        <v>0</v>
      </c>
      <c r="R34" s="71">
        <f t="shared" ref="R34:S34" si="123">L34-O34</f>
        <v>0</v>
      </c>
      <c r="S34" s="71">
        <f t="shared" si="123"/>
        <v>0</v>
      </c>
      <c r="T34" s="68">
        <f t="shared" si="6"/>
        <v>0</v>
      </c>
      <c r="U34" s="71">
        <f t="shared" ref="U34:V34" si="124">R34*0.55</f>
        <v>0</v>
      </c>
      <c r="V34" s="71">
        <f t="shared" si="124"/>
        <v>0</v>
      </c>
      <c r="W34" s="68">
        <f t="shared" si="8"/>
        <v>0</v>
      </c>
      <c r="X34" s="71">
        <v>0.0</v>
      </c>
      <c r="Y34" s="71">
        <v>0.0</v>
      </c>
      <c r="Z34" s="68">
        <f t="shared" si="9"/>
        <v>0</v>
      </c>
      <c r="AA34" s="71">
        <f t="shared" ref="AA34:AB34" si="125">X34*0.95</f>
        <v>0</v>
      </c>
      <c r="AB34" s="71">
        <f t="shared" si="125"/>
        <v>0</v>
      </c>
      <c r="AC34" s="68">
        <f t="shared" si="11"/>
        <v>0</v>
      </c>
      <c r="AD34" s="71">
        <v>0.0</v>
      </c>
      <c r="AE34" s="71">
        <v>0.0</v>
      </c>
      <c r="AF34" s="68">
        <f t="shared" si="12"/>
        <v>0</v>
      </c>
      <c r="AG34" s="71">
        <f t="shared" ref="AG34:AH34" si="126">AD34/1.05506</f>
        <v>0</v>
      </c>
      <c r="AH34" s="71">
        <f t="shared" si="126"/>
        <v>0</v>
      </c>
      <c r="AI34" s="68">
        <f t="shared" si="14"/>
        <v>0</v>
      </c>
    </row>
    <row r="35" ht="14.25" customHeight="1">
      <c r="B35" s="66">
        <v>45893.0</v>
      </c>
      <c r="C35" s="70"/>
      <c r="D35" s="70"/>
      <c r="E35" s="68">
        <f t="shared" si="1"/>
        <v>0</v>
      </c>
      <c r="F35" s="71">
        <v>0.0</v>
      </c>
      <c r="G35" s="72">
        <v>0.0</v>
      </c>
      <c r="H35" s="68">
        <f t="shared" si="15"/>
        <v>0</v>
      </c>
      <c r="I35" s="73">
        <f t="shared" ref="I35:J35" si="127">F35*55000*0.35/1000/0.55</f>
        <v>0</v>
      </c>
      <c r="J35" s="73">
        <f t="shared" si="127"/>
        <v>0</v>
      </c>
      <c r="K35" s="68">
        <f t="shared" si="17"/>
        <v>0</v>
      </c>
      <c r="L35" s="71">
        <v>0.0</v>
      </c>
      <c r="M35" s="71">
        <v>0.0</v>
      </c>
      <c r="N35" s="68">
        <f t="shared" si="3"/>
        <v>0</v>
      </c>
      <c r="O35" s="71">
        <v>0.0</v>
      </c>
      <c r="P35" s="71">
        <v>0.0</v>
      </c>
      <c r="Q35" s="68">
        <f t="shared" si="4"/>
        <v>0</v>
      </c>
      <c r="R35" s="71">
        <f t="shared" ref="R35:S35" si="128">L35-O35</f>
        <v>0</v>
      </c>
      <c r="S35" s="71">
        <f t="shared" si="128"/>
        <v>0</v>
      </c>
      <c r="T35" s="68">
        <f t="shared" si="6"/>
        <v>0</v>
      </c>
      <c r="U35" s="71">
        <f t="shared" ref="U35:V35" si="129">R35*0.55</f>
        <v>0</v>
      </c>
      <c r="V35" s="71">
        <f t="shared" si="129"/>
        <v>0</v>
      </c>
      <c r="W35" s="68">
        <f t="shared" si="8"/>
        <v>0</v>
      </c>
      <c r="X35" s="71">
        <v>0.0</v>
      </c>
      <c r="Y35" s="71">
        <v>0.0</v>
      </c>
      <c r="Z35" s="68">
        <f t="shared" si="9"/>
        <v>0</v>
      </c>
      <c r="AA35" s="71">
        <f t="shared" ref="AA35:AB35" si="130">X35*0.95</f>
        <v>0</v>
      </c>
      <c r="AB35" s="71">
        <f t="shared" si="130"/>
        <v>0</v>
      </c>
      <c r="AC35" s="68">
        <f t="shared" si="11"/>
        <v>0</v>
      </c>
      <c r="AD35" s="71">
        <v>0.0</v>
      </c>
      <c r="AE35" s="71">
        <v>0.0</v>
      </c>
      <c r="AF35" s="68">
        <f t="shared" si="12"/>
        <v>0</v>
      </c>
      <c r="AG35" s="71">
        <f t="shared" ref="AG35:AH35" si="131">AD35/1.05506</f>
        <v>0</v>
      </c>
      <c r="AH35" s="71">
        <f t="shared" si="131"/>
        <v>0</v>
      </c>
      <c r="AI35" s="68">
        <f t="shared" si="14"/>
        <v>0</v>
      </c>
    </row>
    <row r="36" ht="14.25" customHeight="1">
      <c r="B36" s="66">
        <v>45894.0</v>
      </c>
      <c r="C36" s="70"/>
      <c r="D36" s="70"/>
      <c r="E36" s="68">
        <f t="shared" si="1"/>
        <v>0</v>
      </c>
      <c r="F36" s="71">
        <v>0.0</v>
      </c>
      <c r="G36" s="72">
        <v>0.0</v>
      </c>
      <c r="H36" s="68">
        <f t="shared" si="15"/>
        <v>0</v>
      </c>
      <c r="I36" s="73">
        <f t="shared" ref="I36:J36" si="132">F36*55000*0.35/1000/0.55</f>
        <v>0</v>
      </c>
      <c r="J36" s="73">
        <f t="shared" si="132"/>
        <v>0</v>
      </c>
      <c r="K36" s="68">
        <f t="shared" si="17"/>
        <v>0</v>
      </c>
      <c r="L36" s="71">
        <v>0.0</v>
      </c>
      <c r="M36" s="71">
        <v>0.0</v>
      </c>
      <c r="N36" s="68">
        <f t="shared" si="3"/>
        <v>0</v>
      </c>
      <c r="O36" s="71">
        <v>0.0</v>
      </c>
      <c r="P36" s="71">
        <v>0.0</v>
      </c>
      <c r="Q36" s="68">
        <f t="shared" si="4"/>
        <v>0</v>
      </c>
      <c r="R36" s="71">
        <f t="shared" ref="R36:S36" si="133">L36-O36</f>
        <v>0</v>
      </c>
      <c r="S36" s="71">
        <f t="shared" si="133"/>
        <v>0</v>
      </c>
      <c r="T36" s="68">
        <f t="shared" si="6"/>
        <v>0</v>
      </c>
      <c r="U36" s="71">
        <f t="shared" ref="U36:V36" si="134">R36*0.55</f>
        <v>0</v>
      </c>
      <c r="V36" s="71">
        <f t="shared" si="134"/>
        <v>0</v>
      </c>
      <c r="W36" s="68">
        <f t="shared" si="8"/>
        <v>0</v>
      </c>
      <c r="X36" s="71">
        <v>0.0</v>
      </c>
      <c r="Y36" s="71">
        <v>0.0</v>
      </c>
      <c r="Z36" s="68">
        <f t="shared" si="9"/>
        <v>0</v>
      </c>
      <c r="AA36" s="71">
        <f t="shared" ref="AA36:AB36" si="135">X36*0.95</f>
        <v>0</v>
      </c>
      <c r="AB36" s="71">
        <f t="shared" si="135"/>
        <v>0</v>
      </c>
      <c r="AC36" s="68">
        <f t="shared" si="11"/>
        <v>0</v>
      </c>
      <c r="AD36" s="71">
        <v>0.0</v>
      </c>
      <c r="AE36" s="71">
        <v>0.0</v>
      </c>
      <c r="AF36" s="68">
        <f t="shared" si="12"/>
        <v>0</v>
      </c>
      <c r="AG36" s="71">
        <f t="shared" ref="AG36:AH36" si="136">AD36/1.05506</f>
        <v>0</v>
      </c>
      <c r="AH36" s="71">
        <f t="shared" si="136"/>
        <v>0</v>
      </c>
      <c r="AI36" s="68">
        <f t="shared" si="14"/>
        <v>0</v>
      </c>
    </row>
    <row r="37" ht="14.25" customHeight="1">
      <c r="B37" s="66">
        <v>45895.0</v>
      </c>
      <c r="C37" s="70"/>
      <c r="D37" s="70"/>
      <c r="E37" s="68">
        <f t="shared" si="1"/>
        <v>0</v>
      </c>
      <c r="F37" s="71">
        <v>0.0</v>
      </c>
      <c r="G37" s="72">
        <v>0.0</v>
      </c>
      <c r="H37" s="68">
        <f t="shared" si="15"/>
        <v>0</v>
      </c>
      <c r="I37" s="73">
        <f t="shared" ref="I37:J37" si="137">F37*55000*0.35/1000/0.55</f>
        <v>0</v>
      </c>
      <c r="J37" s="73">
        <f t="shared" si="137"/>
        <v>0</v>
      </c>
      <c r="K37" s="68">
        <f t="shared" si="17"/>
        <v>0</v>
      </c>
      <c r="L37" s="71">
        <v>0.0</v>
      </c>
      <c r="M37" s="71">
        <v>0.0</v>
      </c>
      <c r="N37" s="68">
        <f t="shared" si="3"/>
        <v>0</v>
      </c>
      <c r="O37" s="71">
        <v>0.0</v>
      </c>
      <c r="P37" s="71">
        <v>0.0</v>
      </c>
      <c r="Q37" s="68">
        <f t="shared" si="4"/>
        <v>0</v>
      </c>
      <c r="R37" s="71">
        <f t="shared" ref="R37:S37" si="138">L37-O37</f>
        <v>0</v>
      </c>
      <c r="S37" s="71">
        <f t="shared" si="138"/>
        <v>0</v>
      </c>
      <c r="T37" s="68">
        <f t="shared" si="6"/>
        <v>0</v>
      </c>
      <c r="U37" s="71">
        <f t="shared" ref="U37:V37" si="139">R37*0.55</f>
        <v>0</v>
      </c>
      <c r="V37" s="71">
        <f t="shared" si="139"/>
        <v>0</v>
      </c>
      <c r="W37" s="68">
        <f t="shared" si="8"/>
        <v>0</v>
      </c>
      <c r="X37" s="71">
        <v>0.0</v>
      </c>
      <c r="Y37" s="71">
        <v>0.0</v>
      </c>
      <c r="Z37" s="68">
        <f t="shared" si="9"/>
        <v>0</v>
      </c>
      <c r="AA37" s="71">
        <f t="shared" ref="AA37:AB37" si="140">X37*0.95</f>
        <v>0</v>
      </c>
      <c r="AB37" s="71">
        <f t="shared" si="140"/>
        <v>0</v>
      </c>
      <c r="AC37" s="68">
        <f t="shared" si="11"/>
        <v>0</v>
      </c>
      <c r="AD37" s="71">
        <v>0.0</v>
      </c>
      <c r="AE37" s="71">
        <v>0.0</v>
      </c>
      <c r="AF37" s="68">
        <f t="shared" si="12"/>
        <v>0</v>
      </c>
      <c r="AG37" s="71">
        <f t="shared" ref="AG37:AH37" si="141">AD37/1.05506</f>
        <v>0</v>
      </c>
      <c r="AH37" s="71">
        <f t="shared" si="141"/>
        <v>0</v>
      </c>
      <c r="AI37" s="68">
        <f t="shared" si="14"/>
        <v>0</v>
      </c>
    </row>
    <row r="38" ht="14.25" customHeight="1">
      <c r="B38" s="66">
        <v>45896.0</v>
      </c>
      <c r="C38" s="70"/>
      <c r="D38" s="70"/>
      <c r="E38" s="68">
        <f t="shared" si="1"/>
        <v>0</v>
      </c>
      <c r="F38" s="71">
        <v>0.0</v>
      </c>
      <c r="G38" s="72">
        <v>0.0</v>
      </c>
      <c r="H38" s="68">
        <f t="shared" si="15"/>
        <v>0</v>
      </c>
      <c r="I38" s="73">
        <f t="shared" ref="I38:J38" si="142">F38*55000*0.35/1000/0.55</f>
        <v>0</v>
      </c>
      <c r="J38" s="73">
        <f t="shared" si="142"/>
        <v>0</v>
      </c>
      <c r="K38" s="68">
        <f t="shared" si="17"/>
        <v>0</v>
      </c>
      <c r="L38" s="71">
        <v>0.0</v>
      </c>
      <c r="M38" s="71">
        <v>0.0</v>
      </c>
      <c r="N38" s="68">
        <f t="shared" si="3"/>
        <v>0</v>
      </c>
      <c r="O38" s="71">
        <v>0.0</v>
      </c>
      <c r="P38" s="71">
        <v>0.0</v>
      </c>
      <c r="Q38" s="68">
        <f t="shared" si="4"/>
        <v>0</v>
      </c>
      <c r="R38" s="71">
        <f t="shared" ref="R38:S38" si="143">L38-O38</f>
        <v>0</v>
      </c>
      <c r="S38" s="71">
        <f t="shared" si="143"/>
        <v>0</v>
      </c>
      <c r="T38" s="68">
        <f t="shared" si="6"/>
        <v>0</v>
      </c>
      <c r="U38" s="71">
        <f t="shared" ref="U38:V38" si="144">R38*0.55</f>
        <v>0</v>
      </c>
      <c r="V38" s="71">
        <f t="shared" si="144"/>
        <v>0</v>
      </c>
      <c r="W38" s="68">
        <f t="shared" si="8"/>
        <v>0</v>
      </c>
      <c r="X38" s="71">
        <v>0.0</v>
      </c>
      <c r="Y38" s="71">
        <v>0.0</v>
      </c>
      <c r="Z38" s="68">
        <f t="shared" si="9"/>
        <v>0</v>
      </c>
      <c r="AA38" s="71">
        <f t="shared" ref="AA38:AB38" si="145">X38*0.95</f>
        <v>0</v>
      </c>
      <c r="AB38" s="71">
        <f t="shared" si="145"/>
        <v>0</v>
      </c>
      <c r="AC38" s="68">
        <f t="shared" si="11"/>
        <v>0</v>
      </c>
      <c r="AD38" s="71">
        <v>0.0</v>
      </c>
      <c r="AE38" s="71">
        <v>0.0</v>
      </c>
      <c r="AF38" s="68">
        <f t="shared" si="12"/>
        <v>0</v>
      </c>
      <c r="AG38" s="71">
        <f t="shared" ref="AG38:AH38" si="146">AD38/1.05506</f>
        <v>0</v>
      </c>
      <c r="AH38" s="71">
        <f t="shared" si="146"/>
        <v>0</v>
      </c>
      <c r="AI38" s="68">
        <f t="shared" si="14"/>
        <v>0</v>
      </c>
    </row>
    <row r="39" ht="14.25" customHeight="1">
      <c r="B39" s="66">
        <v>45897.0</v>
      </c>
      <c r="C39" s="70"/>
      <c r="D39" s="70"/>
      <c r="E39" s="68">
        <f t="shared" si="1"/>
        <v>0</v>
      </c>
      <c r="F39" s="71">
        <v>0.0</v>
      </c>
      <c r="G39" s="72">
        <v>0.0</v>
      </c>
      <c r="H39" s="68">
        <f t="shared" si="15"/>
        <v>0</v>
      </c>
      <c r="I39" s="73">
        <f t="shared" ref="I39:J39" si="147">F39*55000*0.35/1000/0.55</f>
        <v>0</v>
      </c>
      <c r="J39" s="73">
        <f t="shared" si="147"/>
        <v>0</v>
      </c>
      <c r="K39" s="68">
        <f t="shared" si="17"/>
        <v>0</v>
      </c>
      <c r="L39" s="71">
        <v>0.0</v>
      </c>
      <c r="M39" s="71">
        <v>0.0</v>
      </c>
      <c r="N39" s="68">
        <f t="shared" si="3"/>
        <v>0</v>
      </c>
      <c r="O39" s="71">
        <v>0.0</v>
      </c>
      <c r="P39" s="71">
        <v>0.0</v>
      </c>
      <c r="Q39" s="68">
        <f t="shared" si="4"/>
        <v>0</v>
      </c>
      <c r="R39" s="71">
        <f t="shared" ref="R39:S39" si="148">L39-O39</f>
        <v>0</v>
      </c>
      <c r="S39" s="71">
        <f t="shared" si="148"/>
        <v>0</v>
      </c>
      <c r="T39" s="68">
        <f t="shared" si="6"/>
        <v>0</v>
      </c>
      <c r="U39" s="71">
        <f t="shared" ref="U39:V39" si="149">R39*0.55</f>
        <v>0</v>
      </c>
      <c r="V39" s="71">
        <f t="shared" si="149"/>
        <v>0</v>
      </c>
      <c r="W39" s="68">
        <f t="shared" si="8"/>
        <v>0</v>
      </c>
      <c r="X39" s="71">
        <v>0.0</v>
      </c>
      <c r="Y39" s="71">
        <v>0.0</v>
      </c>
      <c r="Z39" s="68">
        <f t="shared" si="9"/>
        <v>0</v>
      </c>
      <c r="AA39" s="71">
        <f t="shared" ref="AA39:AB39" si="150">X39*0.95</f>
        <v>0</v>
      </c>
      <c r="AB39" s="71">
        <f t="shared" si="150"/>
        <v>0</v>
      </c>
      <c r="AC39" s="68">
        <f t="shared" si="11"/>
        <v>0</v>
      </c>
      <c r="AD39" s="71">
        <v>0.0</v>
      </c>
      <c r="AE39" s="71">
        <v>0.0</v>
      </c>
      <c r="AF39" s="68">
        <f t="shared" si="12"/>
        <v>0</v>
      </c>
      <c r="AG39" s="71">
        <f t="shared" ref="AG39:AH39" si="151">AD39/1.05506</f>
        <v>0</v>
      </c>
      <c r="AH39" s="71">
        <f t="shared" si="151"/>
        <v>0</v>
      </c>
      <c r="AI39" s="68">
        <f t="shared" si="14"/>
        <v>0</v>
      </c>
    </row>
    <row r="40" ht="14.25" customHeight="1">
      <c r="B40" s="66">
        <v>45898.0</v>
      </c>
      <c r="C40" s="70"/>
      <c r="D40" s="70"/>
      <c r="E40" s="68">
        <f t="shared" si="1"/>
        <v>0</v>
      </c>
      <c r="F40" s="71">
        <v>0.0</v>
      </c>
      <c r="G40" s="72">
        <v>0.0</v>
      </c>
      <c r="H40" s="68">
        <f t="shared" si="15"/>
        <v>0</v>
      </c>
      <c r="I40" s="73">
        <f t="shared" ref="I40:J40" si="152">F40*55000*0.35/1000/0.55</f>
        <v>0</v>
      </c>
      <c r="J40" s="73">
        <f t="shared" si="152"/>
        <v>0</v>
      </c>
      <c r="K40" s="68">
        <f t="shared" si="17"/>
        <v>0</v>
      </c>
      <c r="L40" s="71">
        <v>0.0</v>
      </c>
      <c r="M40" s="71">
        <v>0.0</v>
      </c>
      <c r="N40" s="68">
        <f t="shared" si="3"/>
        <v>0</v>
      </c>
      <c r="O40" s="71">
        <v>0.0</v>
      </c>
      <c r="P40" s="71">
        <v>0.0</v>
      </c>
      <c r="Q40" s="68">
        <f t="shared" si="4"/>
        <v>0</v>
      </c>
      <c r="R40" s="71">
        <f t="shared" ref="R40:S40" si="153">L40-O40</f>
        <v>0</v>
      </c>
      <c r="S40" s="71">
        <f t="shared" si="153"/>
        <v>0</v>
      </c>
      <c r="T40" s="68">
        <f t="shared" si="6"/>
        <v>0</v>
      </c>
      <c r="U40" s="71">
        <f t="shared" ref="U40:V40" si="154">R40*0.55</f>
        <v>0</v>
      </c>
      <c r="V40" s="71">
        <f t="shared" si="154"/>
        <v>0</v>
      </c>
      <c r="W40" s="68">
        <f t="shared" si="8"/>
        <v>0</v>
      </c>
      <c r="X40" s="71">
        <v>0.0</v>
      </c>
      <c r="Y40" s="71">
        <v>0.0</v>
      </c>
      <c r="Z40" s="68">
        <f t="shared" si="9"/>
        <v>0</v>
      </c>
      <c r="AA40" s="71">
        <f t="shared" ref="AA40:AB40" si="155">X40*0.95</f>
        <v>0</v>
      </c>
      <c r="AB40" s="71">
        <f t="shared" si="155"/>
        <v>0</v>
      </c>
      <c r="AC40" s="68">
        <f t="shared" si="11"/>
        <v>0</v>
      </c>
      <c r="AD40" s="71">
        <v>0.0</v>
      </c>
      <c r="AE40" s="71">
        <v>0.0</v>
      </c>
      <c r="AF40" s="68">
        <f t="shared" si="12"/>
        <v>0</v>
      </c>
      <c r="AG40" s="71">
        <f t="shared" ref="AG40:AH40" si="156">AD40/1.05506</f>
        <v>0</v>
      </c>
      <c r="AH40" s="71">
        <f t="shared" si="156"/>
        <v>0</v>
      </c>
      <c r="AI40" s="68">
        <f t="shared" si="14"/>
        <v>0</v>
      </c>
    </row>
    <row r="41" ht="14.25" customHeight="1">
      <c r="B41" s="66">
        <v>45899.0</v>
      </c>
      <c r="C41" s="70"/>
      <c r="D41" s="70"/>
      <c r="E41" s="68">
        <f t="shared" si="1"/>
        <v>0</v>
      </c>
      <c r="F41" s="71">
        <v>0.0</v>
      </c>
      <c r="G41" s="72">
        <v>0.0</v>
      </c>
      <c r="H41" s="68">
        <f t="shared" si="15"/>
        <v>0</v>
      </c>
      <c r="I41" s="73">
        <f t="shared" ref="I41:J41" si="157">F40*55000*0.35/1000/0.55</f>
        <v>0</v>
      </c>
      <c r="J41" s="73">
        <f t="shared" si="157"/>
        <v>0</v>
      </c>
      <c r="K41" s="68">
        <f t="shared" si="17"/>
        <v>0</v>
      </c>
      <c r="L41" s="71">
        <v>0.0</v>
      </c>
      <c r="M41" s="71">
        <v>0.0</v>
      </c>
      <c r="N41" s="68">
        <f t="shared" si="3"/>
        <v>0</v>
      </c>
      <c r="O41" s="71">
        <v>0.0</v>
      </c>
      <c r="P41" s="71">
        <v>0.0</v>
      </c>
      <c r="Q41" s="68">
        <f t="shared" si="4"/>
        <v>0</v>
      </c>
      <c r="R41" s="71">
        <f t="shared" ref="R41:S41" si="158">L40-O41</f>
        <v>0</v>
      </c>
      <c r="S41" s="71">
        <f t="shared" si="158"/>
        <v>0</v>
      </c>
      <c r="T41" s="68">
        <f t="shared" si="6"/>
        <v>0</v>
      </c>
      <c r="U41" s="71">
        <f t="shared" ref="U41:V41" si="159">R41*0.55</f>
        <v>0</v>
      </c>
      <c r="V41" s="71">
        <f t="shared" si="159"/>
        <v>0</v>
      </c>
      <c r="W41" s="68">
        <f t="shared" si="8"/>
        <v>0</v>
      </c>
      <c r="X41" s="71">
        <v>0.0</v>
      </c>
      <c r="Y41" s="71">
        <v>0.0</v>
      </c>
      <c r="Z41" s="68">
        <f t="shared" si="9"/>
        <v>0</v>
      </c>
      <c r="AA41" s="71">
        <f t="shared" ref="AA41:AB41" si="160">X41*0.95</f>
        <v>0</v>
      </c>
      <c r="AB41" s="71">
        <f t="shared" si="160"/>
        <v>0</v>
      </c>
      <c r="AC41" s="68">
        <f t="shared" si="11"/>
        <v>0</v>
      </c>
      <c r="AD41" s="71">
        <v>0.0</v>
      </c>
      <c r="AE41" s="71">
        <v>0.0</v>
      </c>
      <c r="AF41" s="68">
        <f t="shared" si="12"/>
        <v>0</v>
      </c>
      <c r="AG41" s="71">
        <f t="shared" ref="AG41:AH41" si="161">AD41/1.05506</f>
        <v>0</v>
      </c>
      <c r="AH41" s="71">
        <f t="shared" si="161"/>
        <v>0</v>
      </c>
      <c r="AI41" s="68">
        <f t="shared" si="14"/>
        <v>0</v>
      </c>
    </row>
    <row r="42" ht="14.25" customHeight="1">
      <c r="B42" s="66">
        <v>45900.0</v>
      </c>
      <c r="C42" s="70"/>
      <c r="D42" s="70"/>
      <c r="E42" s="68">
        <f t="shared" si="1"/>
        <v>0</v>
      </c>
      <c r="F42" s="71">
        <v>0.0</v>
      </c>
      <c r="G42" s="72">
        <v>0.0</v>
      </c>
      <c r="H42" s="68">
        <f t="shared" si="15"/>
        <v>0</v>
      </c>
      <c r="I42" s="73">
        <f t="shared" ref="I42:J42" si="162">F41*55000*0.35/1000/0.55</f>
        <v>0</v>
      </c>
      <c r="J42" s="73">
        <f t="shared" si="162"/>
        <v>0</v>
      </c>
      <c r="K42" s="68">
        <f t="shared" si="17"/>
        <v>0</v>
      </c>
      <c r="L42" s="71">
        <v>0.0</v>
      </c>
      <c r="M42" s="71">
        <v>0.0</v>
      </c>
      <c r="N42" s="68">
        <f t="shared" si="3"/>
        <v>0</v>
      </c>
      <c r="O42" s="71">
        <v>0.0</v>
      </c>
      <c r="P42" s="71">
        <v>0.0</v>
      </c>
      <c r="Q42" s="68">
        <f t="shared" si="4"/>
        <v>0</v>
      </c>
      <c r="R42" s="71">
        <f t="shared" ref="R42:S42" si="163">L41-O42</f>
        <v>0</v>
      </c>
      <c r="S42" s="71">
        <f t="shared" si="163"/>
        <v>0</v>
      </c>
      <c r="T42" s="68">
        <f t="shared" si="6"/>
        <v>0</v>
      </c>
      <c r="U42" s="71">
        <f t="shared" ref="U42:V42" si="164">R42*0.55</f>
        <v>0</v>
      </c>
      <c r="V42" s="71">
        <f t="shared" si="164"/>
        <v>0</v>
      </c>
      <c r="W42" s="68">
        <f t="shared" si="8"/>
        <v>0</v>
      </c>
      <c r="X42" s="71">
        <v>0.0</v>
      </c>
      <c r="Y42" s="71">
        <v>0.0</v>
      </c>
      <c r="Z42" s="68">
        <f t="shared" si="9"/>
        <v>0</v>
      </c>
      <c r="AA42" s="71">
        <f t="shared" ref="AA42:AB42" si="165">X42*0.95</f>
        <v>0</v>
      </c>
      <c r="AB42" s="71">
        <f t="shared" si="165"/>
        <v>0</v>
      </c>
      <c r="AC42" s="68">
        <f t="shared" si="11"/>
        <v>0</v>
      </c>
      <c r="AD42" s="71">
        <v>0.0</v>
      </c>
      <c r="AE42" s="71">
        <v>0.0</v>
      </c>
      <c r="AF42" s="68">
        <f t="shared" si="12"/>
        <v>0</v>
      </c>
      <c r="AG42" s="71">
        <f t="shared" ref="AG42:AH42" si="166">AD42/1.05506</f>
        <v>0</v>
      </c>
      <c r="AH42" s="71">
        <f t="shared" si="166"/>
        <v>0</v>
      </c>
      <c r="AI42" s="68">
        <f t="shared" si="14"/>
        <v>0</v>
      </c>
    </row>
    <row r="43" ht="15.0" customHeight="1">
      <c r="B43" s="76" t="s">
        <v>49</v>
      </c>
      <c r="C43" s="77"/>
      <c r="D43" s="77"/>
      <c r="E43" s="77"/>
      <c r="F43" s="77">
        <f t="shared" ref="F43:AI43" si="167">SUM(F12:F42)</f>
        <v>0</v>
      </c>
      <c r="G43" s="77">
        <f t="shared" si="167"/>
        <v>0</v>
      </c>
      <c r="H43" s="77">
        <f t="shared" si="167"/>
        <v>0</v>
      </c>
      <c r="I43" s="77">
        <f t="shared" si="167"/>
        <v>0</v>
      </c>
      <c r="J43" s="77">
        <f t="shared" si="167"/>
        <v>0</v>
      </c>
      <c r="K43" s="77">
        <f t="shared" si="167"/>
        <v>0</v>
      </c>
      <c r="L43" s="77">
        <f t="shared" si="167"/>
        <v>0</v>
      </c>
      <c r="M43" s="77">
        <f t="shared" si="167"/>
        <v>0</v>
      </c>
      <c r="N43" s="77">
        <f t="shared" si="167"/>
        <v>0</v>
      </c>
      <c r="O43" s="77">
        <f t="shared" si="167"/>
        <v>0</v>
      </c>
      <c r="P43" s="77">
        <f t="shared" si="167"/>
        <v>0</v>
      </c>
      <c r="Q43" s="77">
        <f t="shared" si="167"/>
        <v>0</v>
      </c>
      <c r="R43" s="77">
        <f t="shared" si="167"/>
        <v>0</v>
      </c>
      <c r="S43" s="77">
        <f t="shared" si="167"/>
        <v>0</v>
      </c>
      <c r="T43" s="77">
        <f t="shared" si="167"/>
        <v>0</v>
      </c>
      <c r="U43" s="77">
        <f t="shared" si="167"/>
        <v>0</v>
      </c>
      <c r="V43" s="77">
        <f t="shared" si="167"/>
        <v>0</v>
      </c>
      <c r="W43" s="77">
        <f t="shared" si="167"/>
        <v>0</v>
      </c>
      <c r="X43" s="77">
        <f t="shared" si="167"/>
        <v>0</v>
      </c>
      <c r="Y43" s="77">
        <f t="shared" si="167"/>
        <v>0</v>
      </c>
      <c r="Z43" s="77">
        <f t="shared" si="167"/>
        <v>0</v>
      </c>
      <c r="AA43" s="77">
        <f t="shared" si="167"/>
        <v>0</v>
      </c>
      <c r="AB43" s="77">
        <f t="shared" si="167"/>
        <v>0</v>
      </c>
      <c r="AC43" s="77">
        <f t="shared" si="167"/>
        <v>0</v>
      </c>
      <c r="AD43" s="77">
        <f t="shared" si="167"/>
        <v>0</v>
      </c>
      <c r="AE43" s="77">
        <f t="shared" si="167"/>
        <v>0</v>
      </c>
      <c r="AF43" s="77">
        <f t="shared" si="167"/>
        <v>0</v>
      </c>
      <c r="AG43" s="77">
        <f t="shared" si="167"/>
        <v>0</v>
      </c>
      <c r="AH43" s="77">
        <f t="shared" si="167"/>
        <v>0</v>
      </c>
      <c r="AI43" s="77">
        <f t="shared" si="167"/>
        <v>0</v>
      </c>
      <c r="AK43" s="75" t="str">
        <f>AC43/W43*100</f>
        <v>#DIV/0!</v>
      </c>
    </row>
    <row r="44" ht="14.25" customHeight="1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 ht="14.25" customHeight="1"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</row>
    <row r="47" ht="18.0" customHeight="1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</row>
    <row r="48" ht="14.25" customHeight="1"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</row>
    <row r="49" ht="14.25" customHeight="1"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</row>
    <row r="50" ht="18.0" customHeight="1"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</row>
    <row r="51"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</row>
    <row r="52" ht="14.25" customHeight="1"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</row>
    <row r="53" ht="14.25" customHeight="1"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</row>
    <row r="54"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</row>
    <row r="55" ht="14.25" customHeight="1"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</row>
    <row r="56" ht="14.25" customHeight="1"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</row>
    <row r="57" ht="14.25" customHeight="1"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</row>
    <row r="58" ht="14.25" customHeight="1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</row>
    <row r="59"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</row>
    <row r="60" ht="14.25" customHeight="1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</row>
    <row r="61" ht="14.25" customHeight="1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</row>
    <row r="62" ht="14.25" customHeight="1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</row>
    <row r="63" ht="14.25" customHeight="1">
      <c r="B63" s="53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</row>
    <row r="64" ht="14.25" customHeight="1">
      <c r="B64" s="53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</row>
    <row r="65" ht="14.25" customHeight="1">
      <c r="B65" s="53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</row>
    <row r="66" ht="14.25" customHeight="1">
      <c r="B66" s="53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</row>
    <row r="67" ht="14.25" customHeight="1">
      <c r="B67" s="53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</row>
    <row r="68" ht="14.25" customHeight="1">
      <c r="B68" s="54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</row>
    <row r="69" ht="14.25" customHeight="1">
      <c r="B69" s="54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</row>
    <row r="70" ht="14.25" customHeight="1">
      <c r="B70" s="53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</row>
    <row r="71" ht="14.25" customHeight="1">
      <c r="B71" s="5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 ht="14.25" customHeight="1">
      <c r="B72" s="5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</row>
    <row r="73" ht="14.25" customHeight="1"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</row>
    <row r="74" ht="14.25" customHeight="1"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</row>
    <row r="75" ht="14.25" customHeight="1"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</row>
    <row r="76" ht="14.25" customHeight="1"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</row>
    <row r="77" ht="14.25" customHeight="1"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</row>
    <row r="78" ht="14.25" customHeight="1"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</row>
    <row r="79" ht="14.25" customHeight="1"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ht="14.25" customHeight="1"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</row>
    <row r="81" ht="14.25" customHeight="1"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 ht="14.25" customHeight="1"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ht="14.25" customHeight="1"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4" ht="14.25" customHeight="1"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 ht="14.25" customHeight="1"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 ht="14.25" customHeight="1"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 ht="14.25" customHeight="1"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 ht="14.25" customHeight="1"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 ht="14.25" customHeight="1"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 ht="14.25" customHeight="1"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 ht="14.25" customHeight="1"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 ht="14.25" customHeight="1"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 ht="14.25" customHeight="1"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 ht="14.25" customHeight="1"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 ht="14.25" customHeight="1"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 ht="14.25" customHeight="1"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 ht="14.25" customHeight="1"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 ht="14.25" customHeight="1"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</row>
    <row r="99" ht="14.25" customHeight="1"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</row>
    <row r="100" ht="14.25" customHeight="1"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</row>
    <row r="101" ht="14.25" customHeight="1"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</row>
    <row r="102" ht="14.25" customHeight="1"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</row>
    <row r="103" ht="14.25" customHeight="1"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 ht="14.25" customHeight="1"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 ht="14.25" customHeight="1"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 ht="14.25" customHeight="1"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 ht="14.25" customHeight="1"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 ht="14.25" customHeight="1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 ht="14.25" customHeight="1"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 ht="14.25" customHeight="1"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 ht="14.25" customHeight="1"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 ht="14.25" customHeight="1"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 ht="14.25" customHeight="1"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 ht="14.25" customHeight="1"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 ht="14.25" customHeight="1"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 ht="14.25" customHeight="1"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 ht="14.25" customHeight="1"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 ht="14.25" customHeight="1"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 ht="14.25" customHeight="1"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 ht="14.25" customHeight="1"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 ht="14.25" customHeight="1"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 ht="14.25" customHeight="1"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 ht="14.25" customHeight="1"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 ht="14.25" customHeight="1"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 ht="14.25" customHeight="1"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 ht="14.25" customHeight="1"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 ht="14.25" customHeight="1"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 ht="14.25" customHeight="1"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 ht="14.25" customHeight="1"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</row>
    <row r="130" ht="14.25" customHeight="1"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</row>
    <row r="131" ht="14.25" customHeight="1"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</row>
    <row r="132" ht="14.25" customHeight="1"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</row>
    <row r="133" ht="14.25" customHeight="1"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</row>
    <row r="134" ht="14.25" customHeight="1"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</row>
    <row r="135" ht="14.25" customHeight="1"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</row>
    <row r="136" ht="14.25" customHeight="1"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</row>
    <row r="137" ht="14.25" customHeight="1"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</row>
    <row r="138" ht="14.25" customHeight="1"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</row>
    <row r="139" ht="14.25" customHeight="1"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</row>
    <row r="140" ht="14.25" customHeight="1"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</row>
    <row r="141" ht="14.25" customHeight="1"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</row>
    <row r="142" ht="14.2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</row>
    <row r="143" ht="14.25" customHeight="1"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</row>
    <row r="144" ht="14.25" customHeight="1"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</row>
    <row r="145" ht="14.25" customHeight="1"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</row>
    <row r="146" ht="14.25" customHeight="1"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</row>
    <row r="147" ht="14.25" customHeight="1"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</row>
    <row r="148" ht="14.25" customHeight="1"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</row>
    <row r="149" ht="14.25" customHeight="1"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</row>
    <row r="150" ht="14.25" customHeight="1"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</row>
    <row r="151" ht="14.25" customHeight="1"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</row>
    <row r="152" ht="14.25" customHeight="1"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</row>
    <row r="153" ht="14.25" customHeight="1"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</row>
    <row r="154" ht="14.25" customHeight="1"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</row>
    <row r="155" ht="14.25" customHeight="1"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</row>
    <row r="156" ht="14.25" customHeight="1"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</row>
    <row r="157" ht="14.25" customHeight="1"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</row>
    <row r="158" ht="14.25" customHeight="1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</row>
    <row r="159" ht="14.25" customHeight="1"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</row>
    <row r="160" ht="14.25" customHeight="1"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</row>
    <row r="161" ht="14.25" customHeight="1"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</row>
    <row r="162" ht="14.25" customHeight="1"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</row>
    <row r="163" ht="14.25" customHeight="1"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</row>
    <row r="164" ht="14.25" customHeight="1"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</row>
    <row r="165" ht="14.25" customHeight="1"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</row>
    <row r="166" ht="14.25" customHeight="1"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</row>
    <row r="167" ht="14.25" customHeight="1"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</row>
    <row r="168" ht="14.25" customHeight="1"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</row>
    <row r="169" ht="14.25" customHeight="1"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</row>
    <row r="170" ht="14.25" customHeight="1"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</row>
    <row r="171" ht="14.25" customHeight="1"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</row>
    <row r="172" ht="14.25" customHeight="1"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</row>
    <row r="173" ht="14.25" customHeight="1"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</row>
    <row r="174" ht="14.25" customHeight="1"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</row>
    <row r="175" ht="14.25" customHeight="1"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</row>
    <row r="176" ht="14.25" customHeight="1"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</row>
    <row r="177" ht="14.25" customHeight="1"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</row>
    <row r="178" ht="14.25" customHeight="1"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</row>
    <row r="179" ht="14.25" customHeight="1"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</row>
    <row r="180" ht="14.25" customHeight="1"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</row>
    <row r="181" ht="14.25" customHeight="1"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</row>
    <row r="182" ht="14.25" customHeight="1"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</row>
    <row r="183" ht="14.25" customHeight="1"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</row>
    <row r="184" ht="14.25" customHeight="1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</row>
    <row r="185" ht="14.25" customHeight="1"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</row>
    <row r="186" ht="14.25" customHeight="1"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</row>
    <row r="187" ht="14.25" customHeight="1"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</row>
    <row r="188" ht="14.25" customHeight="1"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</row>
    <row r="189" ht="14.25" customHeight="1"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</row>
    <row r="190" ht="14.25" customHeight="1"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</row>
    <row r="191" ht="14.25" customHeight="1"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</row>
    <row r="192" ht="14.25" customHeight="1"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</row>
    <row r="193" ht="14.25" customHeight="1"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</row>
    <row r="194" ht="14.25" customHeight="1"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</row>
    <row r="195" ht="14.25" customHeight="1"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</row>
    <row r="196" ht="14.25" customHeight="1"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</row>
    <row r="197" ht="14.25" customHeight="1"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</row>
    <row r="198" ht="14.25" customHeight="1"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</row>
    <row r="199" ht="14.25" customHeight="1"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</row>
    <row r="200" ht="14.25" customHeight="1"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</row>
    <row r="201" ht="14.25" customHeight="1"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</row>
    <row r="202" ht="14.25" customHeight="1"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</row>
    <row r="203" ht="14.25" customHeight="1"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</row>
    <row r="204" ht="14.25" customHeight="1"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</row>
    <row r="205" ht="14.25" customHeight="1"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</row>
    <row r="206" ht="14.25" customHeight="1"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</row>
    <row r="207" ht="14.25" customHeight="1"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</row>
    <row r="208" ht="14.25" customHeight="1"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</row>
    <row r="209" ht="14.25" customHeight="1"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</row>
    <row r="210" ht="14.25" customHeight="1"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</row>
    <row r="211" ht="14.25" customHeight="1"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</row>
    <row r="212" ht="14.25" customHeight="1"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</row>
    <row r="213" ht="14.25" customHeight="1"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</row>
    <row r="214" ht="14.25" customHeight="1"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</row>
    <row r="215" ht="14.25" customHeight="1"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</row>
    <row r="216" ht="14.25" customHeight="1"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</row>
    <row r="217" ht="14.25" customHeight="1"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</row>
    <row r="218" ht="14.25" customHeight="1"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</row>
    <row r="219" ht="14.25" customHeight="1"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</row>
    <row r="220" ht="14.25" customHeight="1"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</row>
    <row r="221" ht="14.25" customHeight="1"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</row>
    <row r="222" ht="14.25" customHeight="1"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</row>
    <row r="223" ht="14.25" customHeight="1"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</row>
    <row r="224" ht="14.25" customHeight="1"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</row>
    <row r="225" ht="14.25" customHeight="1"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</row>
    <row r="226" ht="14.25" customHeight="1"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</row>
    <row r="227" ht="14.25" customHeight="1"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</row>
    <row r="228" ht="14.25" customHeight="1"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</row>
    <row r="229" ht="14.25" customHeight="1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</row>
    <row r="230" ht="14.25" customHeight="1"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</row>
    <row r="231" ht="14.25" customHeight="1"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</row>
    <row r="232" ht="14.25" customHeight="1"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</row>
    <row r="233" ht="14.25" customHeight="1"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</row>
    <row r="234" ht="14.25" customHeight="1"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</row>
    <row r="235" ht="14.25" customHeight="1"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</row>
    <row r="236" ht="14.25" customHeight="1"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</row>
    <row r="237" ht="14.25" customHeight="1"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</row>
    <row r="238" ht="14.25" customHeight="1"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</row>
    <row r="239" ht="14.25" customHeight="1"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</row>
    <row r="240" ht="14.25" customHeight="1"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</row>
    <row r="241" ht="14.25" customHeight="1"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</row>
    <row r="242" ht="14.25" customHeight="1"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</row>
    <row r="243" ht="14.25" customHeight="1"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</row>
    <row r="244" ht="14.25" customHeight="1"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</row>
    <row r="245" ht="14.25" customHeight="1"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</row>
    <row r="246" ht="14.25" customHeight="1"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</row>
    <row r="247" ht="14.25" customHeight="1"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</row>
    <row r="248" ht="14.25" customHeight="1"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</row>
    <row r="249" ht="14.25" customHeight="1"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</row>
    <row r="250" ht="14.25" customHeight="1"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</row>
    <row r="251" ht="14.25" customHeight="1"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</row>
    <row r="252" ht="14.25" customHeight="1"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</row>
    <row r="253" ht="14.25" customHeight="1"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</row>
    <row r="254" ht="14.25" customHeight="1"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</row>
    <row r="255" ht="14.25" customHeight="1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</row>
    <row r="256" ht="14.25" customHeight="1"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</row>
    <row r="257" ht="14.25" customHeight="1"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</row>
    <row r="258" ht="14.25" customHeight="1"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</row>
    <row r="259" ht="14.25" customHeight="1"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</row>
    <row r="260" ht="14.25" customHeight="1"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</row>
    <row r="261" ht="14.25" customHeight="1"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</row>
    <row r="262" ht="14.25" customHeight="1"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</row>
    <row r="263" ht="14.25" customHeight="1"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</row>
    <row r="264" ht="14.25" customHeight="1"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</row>
    <row r="265" ht="14.25" customHeight="1"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</row>
    <row r="266" ht="14.25" customHeight="1"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</row>
    <row r="267" ht="14.25" customHeight="1"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</row>
    <row r="268" ht="14.25" customHeight="1"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</row>
    <row r="269" ht="14.25" customHeight="1"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</row>
    <row r="270" ht="14.25" customHeight="1"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</row>
    <row r="271" ht="14.25" customHeight="1"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</row>
    <row r="272" ht="14.25" customHeight="1"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</row>
    <row r="273" ht="14.25" customHeight="1"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</row>
    <row r="274" ht="14.25" customHeight="1"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</row>
    <row r="275" ht="14.25" customHeight="1"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</row>
    <row r="276" ht="14.25" customHeight="1"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</row>
    <row r="277" ht="14.25" customHeight="1"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</row>
    <row r="278" ht="14.25" customHeight="1"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</row>
    <row r="279" ht="14.25" customHeight="1"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 ht="14.25" customHeight="1"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</row>
    <row r="281" ht="14.25" customHeight="1"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</row>
    <row r="282" ht="14.25" customHeight="1"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</row>
    <row r="283" ht="14.25" customHeight="1"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</row>
    <row r="284" ht="14.25" customHeight="1"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</row>
    <row r="285" ht="14.25" customHeight="1"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</row>
    <row r="286" ht="14.25" customHeight="1"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</row>
    <row r="287" ht="14.25" customHeight="1"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</row>
    <row r="288" ht="14.25" customHeight="1"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</row>
    <row r="289" ht="14.25" customHeight="1"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</row>
    <row r="290" ht="14.25" customHeight="1"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</row>
    <row r="291" ht="14.25" customHeight="1"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</row>
    <row r="292" ht="14.25" customHeight="1"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</row>
    <row r="293" ht="14.25" customHeight="1"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</row>
    <row r="294" ht="14.25" customHeight="1"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</row>
    <row r="295" ht="14.25" customHeight="1"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</row>
    <row r="296" ht="14.25" customHeight="1"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</row>
    <row r="297" ht="14.25" customHeight="1"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</row>
    <row r="298" ht="14.25" customHeight="1"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</row>
    <row r="299" ht="14.25" customHeight="1"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</row>
    <row r="300" ht="14.25" customHeight="1"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</row>
    <row r="301" ht="14.25" customHeight="1"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</row>
    <row r="302" ht="14.25" customHeight="1"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</row>
    <row r="303" ht="14.25" customHeight="1"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</row>
    <row r="304" ht="14.25" customHeight="1"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</row>
    <row r="305" ht="14.25" customHeight="1"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</row>
    <row r="306" ht="14.25" customHeight="1"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</row>
    <row r="307" ht="14.25" customHeight="1"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</row>
    <row r="308" ht="14.25" customHeight="1"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</row>
    <row r="309" ht="14.25" customHeight="1"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</row>
    <row r="310" ht="14.25" customHeight="1"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</row>
    <row r="311" ht="14.25" customHeight="1"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</row>
    <row r="312" ht="14.25" customHeight="1"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</row>
    <row r="313" ht="14.25" customHeight="1"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</row>
    <row r="314" ht="14.25" customHeight="1"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</row>
    <row r="315" ht="14.25" customHeight="1"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</row>
    <row r="316" ht="14.25" customHeight="1"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</row>
    <row r="317" ht="14.25" customHeight="1"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</row>
    <row r="318" ht="14.25" customHeight="1"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</row>
    <row r="319" ht="14.25" customHeight="1"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</row>
    <row r="320" ht="14.25" customHeight="1"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</row>
    <row r="321" ht="14.25" customHeight="1"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</row>
    <row r="322" ht="14.25" customHeight="1"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</row>
    <row r="323" ht="14.25" customHeight="1"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</row>
    <row r="324" ht="14.25" customHeight="1"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</row>
    <row r="325" ht="14.25" customHeight="1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</row>
    <row r="326" ht="14.25" customHeight="1"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</row>
    <row r="327" ht="14.25" customHeight="1"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</row>
    <row r="328" ht="14.25" customHeight="1"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</row>
    <row r="329" ht="14.25" customHeight="1"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</row>
    <row r="330" ht="14.25" customHeight="1"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</row>
    <row r="331" ht="14.25" customHeight="1"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</row>
    <row r="332" ht="14.25" customHeight="1"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</row>
    <row r="333" ht="14.25" customHeight="1"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</row>
    <row r="334" ht="14.25" customHeight="1"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</row>
    <row r="335" ht="14.25" customHeight="1"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</row>
    <row r="336" ht="14.25" customHeight="1"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</row>
    <row r="337" ht="14.25" customHeight="1"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</row>
    <row r="338" ht="14.25" customHeight="1"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</row>
    <row r="339" ht="14.25" customHeight="1"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</row>
    <row r="340" ht="14.25" customHeight="1"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</row>
    <row r="341" ht="14.25" customHeight="1"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</row>
    <row r="342" ht="14.25" customHeight="1"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</row>
    <row r="343" ht="14.25" customHeight="1"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</row>
    <row r="344" ht="14.25" customHeight="1"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</row>
    <row r="345" ht="14.25" customHeight="1"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</row>
    <row r="346" ht="14.25" customHeight="1"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</row>
    <row r="347" ht="14.25" customHeight="1"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</row>
    <row r="348" ht="14.25" customHeight="1"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</row>
    <row r="349" ht="14.25" customHeight="1"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</row>
    <row r="350" ht="14.25" customHeight="1"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</row>
    <row r="351" ht="14.25" customHeight="1"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</row>
    <row r="352" ht="14.25" customHeight="1"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</row>
    <row r="353" ht="14.25" customHeight="1"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</row>
    <row r="354" ht="14.25" customHeight="1"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</row>
    <row r="355" ht="14.25" customHeight="1"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</row>
    <row r="356" ht="14.25" customHeight="1"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</row>
    <row r="357" ht="14.25" customHeight="1"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</row>
    <row r="358" ht="14.25" customHeight="1"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</row>
    <row r="359" ht="14.25" customHeight="1"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</row>
    <row r="360" ht="14.25" customHeight="1"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</row>
    <row r="361" ht="14.25" customHeight="1"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</row>
    <row r="362" ht="14.25" customHeight="1"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</row>
    <row r="363" ht="14.25" customHeight="1"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</row>
    <row r="364" ht="14.25" customHeight="1"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</row>
    <row r="365" ht="14.25" customHeight="1"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</row>
    <row r="366" ht="14.25" customHeight="1"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</row>
    <row r="367" ht="14.25" customHeight="1"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</row>
    <row r="368" ht="14.25" customHeight="1"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</row>
    <row r="369" ht="14.25" customHeight="1"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</row>
    <row r="370" ht="14.25" customHeight="1"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</row>
    <row r="371" ht="14.25" customHeight="1"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</row>
    <row r="372" ht="14.25" customHeight="1"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</row>
    <row r="373" ht="14.25" customHeight="1"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</row>
    <row r="374" ht="14.25" customHeight="1"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</row>
    <row r="375" ht="14.25" customHeight="1"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</row>
    <row r="376" ht="14.25" customHeight="1"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</row>
    <row r="377" ht="14.25" customHeight="1"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</row>
    <row r="378" ht="14.25" customHeight="1"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</row>
    <row r="379" ht="14.25" customHeight="1"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</row>
    <row r="380" ht="14.25" customHeight="1"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</row>
    <row r="381" ht="14.25" customHeight="1"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</row>
    <row r="382" ht="14.25" customHeight="1"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</row>
    <row r="383" ht="14.25" customHeight="1"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</row>
    <row r="384" ht="14.25" customHeight="1"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</row>
    <row r="385" ht="14.25" customHeight="1"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</row>
    <row r="386" ht="14.25" customHeight="1"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</row>
    <row r="387" ht="14.25" customHeight="1"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</row>
    <row r="388" ht="14.25" customHeight="1"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</row>
    <row r="389" ht="14.25" customHeight="1"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</row>
    <row r="390" ht="14.25" customHeight="1"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</row>
    <row r="391" ht="14.25" customHeight="1"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</row>
    <row r="392" ht="14.25" customHeight="1"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</row>
    <row r="393" ht="14.25" customHeight="1"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</row>
    <row r="394" ht="14.25" customHeight="1"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</row>
    <row r="395" ht="14.25" customHeight="1"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</row>
    <row r="396" ht="14.25" customHeight="1"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</row>
    <row r="397" ht="14.25" customHeight="1"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</row>
    <row r="398" ht="14.25" customHeight="1"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</row>
    <row r="399" ht="14.25" customHeight="1"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</row>
    <row r="400" ht="14.25" customHeight="1"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</row>
    <row r="401" ht="14.25" customHeight="1"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</row>
    <row r="402" ht="14.25" customHeight="1"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</row>
    <row r="403" ht="14.25" customHeight="1"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</row>
    <row r="404" ht="14.25" customHeight="1"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</row>
    <row r="405" ht="14.25" customHeight="1"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</row>
    <row r="406" ht="14.25" customHeight="1"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</row>
    <row r="407" ht="14.25" customHeight="1"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</row>
    <row r="408" ht="14.25" customHeight="1"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</row>
    <row r="409" ht="14.25" customHeight="1"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</row>
    <row r="410" ht="14.25" customHeight="1"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</row>
    <row r="411" ht="14.25" customHeight="1"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</row>
    <row r="412" ht="14.25" customHeight="1"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</row>
    <row r="413" ht="14.25" customHeight="1"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</row>
    <row r="414" ht="14.25" customHeight="1"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</row>
    <row r="415" ht="14.25" customHeight="1"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</row>
    <row r="416" ht="14.25" customHeight="1"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</row>
    <row r="417" ht="14.25" customHeight="1"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</row>
    <row r="418" ht="14.25" customHeight="1"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</row>
    <row r="419" ht="14.25" customHeight="1"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</row>
    <row r="420" ht="14.25" customHeight="1"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</row>
    <row r="421" ht="14.25" customHeight="1"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</row>
    <row r="422" ht="14.25" customHeight="1"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</row>
    <row r="423" ht="14.25" customHeight="1"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</row>
    <row r="424" ht="14.25" customHeight="1"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</row>
    <row r="425" ht="14.25" customHeight="1"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</row>
    <row r="426" ht="14.25" customHeight="1"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</row>
    <row r="427" ht="14.25" customHeight="1"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</row>
    <row r="428" ht="14.25" customHeight="1"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</row>
    <row r="429" ht="14.25" customHeight="1"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</row>
    <row r="430" ht="14.25" customHeight="1"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</row>
    <row r="431" ht="14.25" customHeight="1"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</row>
    <row r="432" ht="14.25" customHeight="1"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</row>
    <row r="433" ht="14.25" customHeight="1"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</row>
    <row r="434" ht="14.25" customHeight="1"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</row>
    <row r="435" ht="14.25" customHeight="1"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</row>
    <row r="436" ht="14.25" customHeight="1"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</row>
    <row r="437" ht="14.25" customHeight="1"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</row>
    <row r="438" ht="14.25" customHeight="1"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</row>
    <row r="439" ht="14.25" customHeight="1"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</row>
    <row r="440" ht="14.25" customHeight="1"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</row>
    <row r="441" ht="14.25" customHeight="1"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</row>
    <row r="442" ht="14.25" customHeight="1"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</row>
    <row r="443" ht="14.25" customHeight="1"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</row>
    <row r="444" ht="14.25" customHeight="1"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</row>
    <row r="445" ht="14.25" customHeight="1"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</row>
    <row r="446" ht="14.25" customHeight="1"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</row>
    <row r="447" ht="14.25" customHeight="1"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</row>
    <row r="448" ht="14.25" customHeight="1"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</row>
    <row r="449" ht="14.25" customHeight="1"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</row>
    <row r="450" ht="14.25" customHeight="1"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</row>
    <row r="451" ht="14.25" customHeight="1"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</row>
    <row r="452" ht="14.25" customHeight="1"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</row>
    <row r="453" ht="14.25" customHeight="1"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</row>
    <row r="454" ht="14.25" customHeight="1"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</row>
    <row r="455" ht="14.25" customHeight="1"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</row>
    <row r="456" ht="14.25" customHeight="1"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</row>
    <row r="457" ht="14.25" customHeight="1"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</row>
    <row r="458" ht="14.25" customHeight="1"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</row>
    <row r="459" ht="14.25" customHeight="1"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</row>
    <row r="460" ht="14.25" customHeight="1"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</row>
    <row r="461" ht="14.25" customHeight="1"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</row>
    <row r="462" ht="14.25" customHeight="1"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</row>
    <row r="463" ht="14.25" customHeight="1"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</row>
    <row r="464" ht="14.25" customHeight="1"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</row>
    <row r="465" ht="14.25" customHeight="1"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</row>
    <row r="466" ht="14.25" customHeight="1"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</row>
    <row r="467" ht="14.25" customHeight="1"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</row>
    <row r="468" ht="14.25" customHeight="1"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</row>
    <row r="469" ht="14.25" customHeight="1"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</row>
    <row r="470" ht="14.25" customHeight="1"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</row>
    <row r="471" ht="14.25" customHeight="1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</row>
    <row r="472" ht="14.25" customHeight="1"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</row>
    <row r="473" ht="14.25" customHeight="1"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</row>
    <row r="474" ht="14.25" customHeight="1"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</row>
    <row r="475" ht="14.25" customHeight="1"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</row>
    <row r="476" ht="14.25" customHeight="1"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</row>
    <row r="477" ht="14.25" customHeight="1"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</row>
    <row r="478" ht="14.25" customHeight="1"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</row>
    <row r="479" ht="14.25" customHeight="1"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</row>
    <row r="480" ht="14.25" customHeight="1"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</row>
    <row r="481" ht="14.25" customHeight="1"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</row>
    <row r="482" ht="14.25" customHeight="1"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</row>
    <row r="483" ht="14.25" customHeight="1"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</row>
    <row r="484" ht="14.25" customHeight="1"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</row>
    <row r="485" ht="14.25" customHeight="1"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</row>
    <row r="486" ht="14.25" customHeight="1"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</row>
    <row r="487" ht="14.25" customHeight="1"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</row>
    <row r="488" ht="14.25" customHeight="1"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</row>
    <row r="489" ht="14.25" customHeight="1"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</row>
    <row r="490" ht="14.25" customHeight="1"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</row>
    <row r="491" ht="14.25" customHeight="1"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</row>
    <row r="492" ht="14.25" customHeight="1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</row>
    <row r="493" ht="14.25" customHeight="1"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</row>
    <row r="494" ht="14.25" customHeight="1"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</row>
    <row r="495" ht="14.25" customHeight="1"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</row>
    <row r="496" ht="14.25" customHeight="1"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</row>
    <row r="497" ht="14.25" customHeight="1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</row>
    <row r="498" ht="14.25" customHeight="1"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</row>
    <row r="499" ht="14.25" customHeight="1"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</row>
    <row r="500" ht="14.25" customHeight="1"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</row>
    <row r="501" ht="14.25" customHeight="1"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</row>
    <row r="502" ht="14.25" customHeight="1"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</row>
    <row r="503" ht="14.25" customHeight="1"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</row>
    <row r="504" ht="14.25" customHeight="1"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</row>
    <row r="505" ht="14.25" customHeight="1"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</row>
    <row r="506" ht="14.25" customHeight="1"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</row>
    <row r="507" ht="14.25" customHeight="1"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</row>
    <row r="508" ht="14.25" customHeight="1"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</row>
    <row r="509" ht="14.25" customHeight="1"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</row>
    <row r="510" ht="14.25" customHeight="1"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</row>
    <row r="511" ht="14.25" customHeight="1"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</row>
    <row r="512" ht="14.25" customHeight="1"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</row>
    <row r="513" ht="14.25" customHeight="1"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</row>
    <row r="514" ht="14.25" customHeight="1"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</row>
    <row r="515" ht="14.25" customHeight="1"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</row>
    <row r="516" ht="14.25" customHeight="1"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</row>
    <row r="517" ht="14.25" customHeight="1"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</row>
    <row r="518" ht="14.25" customHeight="1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</row>
    <row r="519" ht="14.25" customHeight="1"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</row>
    <row r="520" ht="14.25" customHeight="1"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</row>
    <row r="521" ht="14.25" customHeight="1"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</row>
    <row r="522" ht="14.25" customHeight="1"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</row>
    <row r="523" ht="14.25" customHeight="1"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</row>
    <row r="524" ht="14.25" customHeight="1"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</row>
    <row r="525" ht="14.25" customHeight="1"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</row>
    <row r="526" ht="14.25" customHeight="1"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</row>
    <row r="527" ht="14.25" customHeight="1"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</row>
    <row r="528" ht="14.25" customHeight="1"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</row>
    <row r="529" ht="14.25" customHeight="1"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</row>
    <row r="530" ht="14.25" customHeight="1"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</row>
    <row r="531" ht="14.25" customHeight="1"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</row>
    <row r="532" ht="14.25" customHeight="1"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</row>
    <row r="533" ht="14.25" customHeight="1"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</row>
    <row r="534" ht="14.25" customHeight="1"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</row>
    <row r="535" ht="14.25" customHeight="1"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</row>
    <row r="536" ht="14.25" customHeight="1"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</row>
    <row r="537" ht="14.25" customHeight="1"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</row>
    <row r="538" ht="14.25" customHeight="1"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</row>
    <row r="539" ht="14.25" customHeight="1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</row>
    <row r="540" ht="14.25" customHeight="1"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</row>
    <row r="541" ht="14.25" customHeight="1"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</row>
    <row r="542" ht="14.25" customHeight="1"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</row>
    <row r="543" ht="14.25" customHeight="1"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</row>
    <row r="544" ht="14.25" customHeight="1"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</row>
    <row r="545" ht="14.25" customHeight="1"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</row>
    <row r="546" ht="14.25" customHeight="1"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</row>
    <row r="547" ht="14.25" customHeight="1"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</row>
    <row r="548" ht="14.25" customHeight="1"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</row>
    <row r="549" ht="14.25" customHeight="1"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</row>
    <row r="550" ht="14.25" customHeight="1"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</row>
    <row r="551" ht="14.25" customHeight="1"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</row>
    <row r="552" ht="14.25" customHeight="1"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</row>
    <row r="553" ht="14.25" customHeight="1"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</row>
    <row r="554" ht="14.25" customHeight="1"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</row>
    <row r="555" ht="14.25" customHeight="1"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</row>
    <row r="556" ht="14.25" customHeight="1"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</row>
    <row r="557" ht="14.25" customHeight="1"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</row>
    <row r="558" ht="14.25" customHeight="1"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</row>
    <row r="559" ht="14.25" customHeight="1"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</row>
    <row r="560" ht="14.25" customHeight="1"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</row>
    <row r="561" ht="14.25" customHeight="1"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</row>
    <row r="562" ht="14.25" customHeight="1"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</row>
    <row r="563" ht="14.25" customHeight="1"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</row>
    <row r="564" ht="14.25" customHeight="1"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</row>
    <row r="565" ht="14.25" customHeight="1"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</row>
    <row r="566" ht="14.25" customHeight="1"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</row>
    <row r="567" ht="14.25" customHeight="1"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</row>
    <row r="568" ht="14.25" customHeight="1"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</row>
    <row r="569" ht="14.25" customHeight="1"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</row>
    <row r="570" ht="14.25" customHeight="1"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</row>
    <row r="571" ht="14.25" customHeight="1"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</row>
    <row r="572" ht="14.25" customHeight="1"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</row>
    <row r="573" ht="14.25" customHeight="1"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</row>
    <row r="574" ht="14.25" customHeight="1"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</row>
    <row r="575" ht="14.25" customHeight="1"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</row>
    <row r="576" ht="14.25" customHeight="1"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</row>
    <row r="577" ht="14.25" customHeight="1"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</row>
    <row r="578" ht="14.25" customHeight="1"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</row>
    <row r="579" ht="14.25" customHeight="1"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</row>
    <row r="580" ht="14.25" customHeight="1"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</row>
    <row r="581" ht="14.25" customHeight="1"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</row>
    <row r="582" ht="14.25" customHeight="1"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</row>
    <row r="583" ht="14.25" customHeight="1"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</row>
    <row r="584" ht="14.25" customHeight="1"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</row>
    <row r="585" ht="14.25" customHeight="1"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</row>
    <row r="586" ht="14.25" customHeight="1"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</row>
    <row r="587" ht="14.25" customHeight="1"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</row>
    <row r="588" ht="14.25" customHeight="1"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</row>
    <row r="589" ht="14.25" customHeight="1"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</row>
    <row r="590" ht="14.25" customHeight="1"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</row>
    <row r="591" ht="14.25" customHeight="1"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</row>
    <row r="592" ht="14.25" customHeight="1"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</row>
    <row r="593" ht="14.25" customHeight="1"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</row>
    <row r="594" ht="14.25" customHeight="1"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</row>
    <row r="595" ht="14.25" customHeight="1"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</row>
    <row r="596" ht="14.25" customHeight="1"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</row>
    <row r="597" ht="14.25" customHeight="1"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</row>
    <row r="598" ht="14.25" customHeight="1"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</row>
    <row r="599" ht="14.25" customHeight="1"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</row>
    <row r="600" ht="14.25" customHeight="1"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</row>
    <row r="601" ht="14.25" customHeight="1"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</row>
    <row r="602" ht="14.25" customHeight="1"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</row>
    <row r="603" ht="14.25" customHeight="1"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</row>
    <row r="604" ht="14.25" customHeight="1"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</row>
    <row r="605" ht="14.25" customHeight="1"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</row>
    <row r="606" ht="14.25" customHeight="1"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</row>
    <row r="607" ht="14.25" customHeight="1"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</row>
    <row r="608" ht="14.25" customHeight="1"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</row>
    <row r="609" ht="14.25" customHeight="1"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</row>
    <row r="610" ht="14.25" customHeight="1"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</row>
    <row r="611" ht="14.25" customHeight="1"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</row>
    <row r="612" ht="14.25" customHeight="1"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</row>
    <row r="613" ht="14.25" customHeight="1"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</row>
    <row r="614" ht="14.25" customHeight="1"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</row>
    <row r="615" ht="14.25" customHeight="1"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</row>
    <row r="616" ht="14.25" customHeight="1"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</row>
    <row r="617" ht="14.25" customHeight="1"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</row>
    <row r="618" ht="14.25" customHeight="1"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</row>
    <row r="619" ht="14.25" customHeight="1"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</row>
    <row r="620" ht="14.25" customHeight="1"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</row>
    <row r="621" ht="14.25" customHeight="1"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</row>
    <row r="622" ht="14.25" customHeight="1"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</row>
    <row r="623" ht="14.25" customHeight="1"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</row>
    <row r="624" ht="14.25" customHeight="1"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</row>
    <row r="625" ht="14.25" customHeight="1"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</row>
    <row r="626" ht="14.25" customHeight="1"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</row>
    <row r="627" ht="14.25" customHeight="1"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</row>
    <row r="628" ht="14.25" customHeight="1"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</row>
    <row r="629" ht="14.25" customHeight="1"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</row>
    <row r="630" ht="14.25" customHeight="1"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</row>
    <row r="631" ht="14.25" customHeight="1"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</row>
    <row r="632" ht="14.25" customHeight="1"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</row>
    <row r="633" ht="14.25" customHeight="1"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</row>
    <row r="634" ht="14.25" customHeight="1"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</row>
    <row r="635" ht="14.25" customHeight="1"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</row>
    <row r="636" ht="14.25" customHeight="1"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</row>
    <row r="637" ht="14.25" customHeight="1"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</row>
    <row r="638" ht="14.25" customHeight="1"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</row>
    <row r="639" ht="14.25" customHeight="1"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</row>
    <row r="640" ht="14.25" customHeight="1"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</row>
    <row r="641" ht="14.25" customHeight="1"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</row>
    <row r="642" ht="14.25" customHeight="1"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</row>
    <row r="643" ht="14.25" customHeight="1"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</row>
    <row r="644" ht="14.25" customHeight="1"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</row>
    <row r="645" ht="14.25" customHeight="1"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</row>
    <row r="646" ht="14.25" customHeight="1"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</row>
    <row r="647" ht="14.25" customHeight="1"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</row>
    <row r="648" ht="14.25" customHeight="1"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</row>
    <row r="649" ht="14.25" customHeight="1"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</row>
    <row r="650" ht="14.25" customHeight="1"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</row>
    <row r="651" ht="14.25" customHeight="1"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</row>
    <row r="652" ht="14.25" customHeight="1"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</row>
    <row r="653" ht="14.25" customHeight="1"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</row>
    <row r="654" ht="14.25" customHeight="1"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</row>
    <row r="655" ht="14.25" customHeight="1"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</row>
    <row r="656" ht="14.25" customHeight="1"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</row>
    <row r="657" ht="14.25" customHeight="1"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</row>
    <row r="658" ht="14.25" customHeight="1"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</row>
    <row r="659" ht="14.25" customHeight="1"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</row>
    <row r="660" ht="14.25" customHeight="1"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</row>
    <row r="661" ht="14.25" customHeight="1"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</row>
    <row r="662" ht="14.25" customHeight="1"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</row>
    <row r="663" ht="14.25" customHeight="1"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</row>
    <row r="664" ht="14.25" customHeight="1"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</row>
    <row r="665" ht="14.25" customHeight="1"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</row>
    <row r="666" ht="14.25" customHeight="1"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</row>
    <row r="667" ht="14.25" customHeight="1"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</row>
    <row r="668" ht="14.25" customHeight="1"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</row>
    <row r="669" ht="14.25" customHeight="1"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</row>
    <row r="670" ht="14.25" customHeight="1"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</row>
    <row r="671" ht="14.25" customHeight="1"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</row>
    <row r="672" ht="14.25" customHeight="1"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</row>
    <row r="673" ht="14.25" customHeight="1"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</row>
    <row r="674" ht="14.25" customHeight="1"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</row>
    <row r="675" ht="14.25" customHeight="1"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</row>
    <row r="676" ht="14.25" customHeight="1"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</row>
    <row r="677" ht="14.25" customHeight="1"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</row>
    <row r="678" ht="14.25" customHeight="1"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</row>
    <row r="679" ht="14.25" customHeight="1"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</row>
    <row r="680" ht="14.25" customHeight="1"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</row>
    <row r="681" ht="14.25" customHeight="1"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</row>
    <row r="682" ht="14.25" customHeight="1"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</row>
    <row r="683" ht="14.25" customHeight="1"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</row>
    <row r="684" ht="14.25" customHeight="1"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</row>
    <row r="685" ht="14.25" customHeight="1"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</row>
    <row r="686" ht="14.25" customHeight="1"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</row>
    <row r="687" ht="14.25" customHeight="1"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</row>
    <row r="688" ht="14.25" customHeight="1"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</row>
    <row r="689" ht="14.25" customHeight="1"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</row>
    <row r="690" ht="14.25" customHeight="1"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</row>
    <row r="691" ht="14.25" customHeight="1"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</row>
    <row r="692" ht="14.25" customHeight="1"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</row>
    <row r="693" ht="14.25" customHeight="1"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</row>
    <row r="694" ht="14.25" customHeight="1"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</row>
    <row r="695" ht="14.25" customHeight="1"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</row>
    <row r="696" ht="14.25" customHeight="1"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</row>
    <row r="697" ht="14.25" customHeight="1"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</row>
    <row r="698" ht="14.25" customHeight="1"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</row>
    <row r="699" ht="14.25" customHeight="1"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</row>
    <row r="700" ht="14.25" customHeight="1"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</row>
    <row r="701" ht="14.25" customHeight="1"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</row>
    <row r="702" ht="14.25" customHeight="1"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</row>
    <row r="703" ht="14.25" customHeight="1"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</row>
    <row r="704" ht="14.25" customHeight="1"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</row>
    <row r="705" ht="14.25" customHeight="1"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</row>
    <row r="706" ht="14.25" customHeight="1"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</row>
    <row r="707" ht="14.25" customHeight="1"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</row>
    <row r="708" ht="14.25" customHeight="1"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</row>
    <row r="709" ht="14.25" customHeight="1"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</row>
    <row r="710" ht="14.25" customHeight="1"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</row>
    <row r="711" ht="14.25" customHeight="1"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</row>
    <row r="712" ht="14.25" customHeight="1"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</row>
    <row r="713" ht="14.25" customHeight="1"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</row>
    <row r="714" ht="14.25" customHeight="1"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</row>
    <row r="715" ht="14.25" customHeight="1"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</row>
    <row r="716" ht="14.25" customHeight="1"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</row>
    <row r="717" ht="14.25" customHeight="1"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</row>
    <row r="718" ht="14.25" customHeight="1"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</row>
    <row r="719" ht="14.25" customHeight="1"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</row>
    <row r="720" ht="14.25" customHeight="1"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</row>
    <row r="721" ht="14.25" customHeight="1"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</row>
    <row r="722" ht="14.25" customHeight="1"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</row>
    <row r="723" ht="14.25" customHeight="1"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</row>
    <row r="724" ht="14.25" customHeight="1"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</row>
    <row r="725" ht="14.25" customHeight="1"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</row>
    <row r="726" ht="14.25" customHeight="1"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</row>
    <row r="727" ht="14.25" customHeight="1"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</row>
    <row r="728" ht="14.25" customHeight="1"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</row>
    <row r="729" ht="14.25" customHeight="1"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</row>
    <row r="730" ht="14.25" customHeight="1"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</row>
    <row r="731" ht="14.25" customHeight="1"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</row>
    <row r="732" ht="14.25" customHeight="1"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</row>
    <row r="733" ht="14.25" customHeight="1"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</row>
    <row r="734" ht="14.25" customHeight="1"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</row>
    <row r="735" ht="14.25" customHeight="1"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</row>
    <row r="736" ht="14.25" customHeight="1"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</row>
    <row r="737" ht="14.25" customHeight="1"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</row>
    <row r="738" ht="14.25" customHeight="1"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</row>
    <row r="739" ht="14.25" customHeight="1"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</row>
    <row r="740" ht="14.25" customHeight="1"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</row>
    <row r="741" ht="14.25" customHeight="1"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</row>
    <row r="742" ht="14.25" customHeight="1"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</row>
    <row r="743" ht="14.25" customHeight="1"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</row>
    <row r="744" ht="14.25" customHeight="1"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</row>
    <row r="745" ht="14.25" customHeight="1"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</row>
    <row r="746" ht="14.25" customHeight="1"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</row>
    <row r="747" ht="14.25" customHeight="1"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</row>
    <row r="748" ht="14.25" customHeight="1"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</row>
    <row r="749" ht="14.25" customHeight="1"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</row>
    <row r="750" ht="14.25" customHeight="1"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</row>
    <row r="751" ht="14.25" customHeight="1"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</row>
    <row r="752" ht="14.25" customHeight="1"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</row>
    <row r="753" ht="14.25" customHeight="1"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</row>
    <row r="754" ht="14.25" customHeight="1"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</row>
    <row r="755" ht="14.25" customHeight="1"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</row>
    <row r="756" ht="14.25" customHeight="1"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</row>
    <row r="757" ht="14.25" customHeight="1"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</row>
    <row r="758" ht="14.25" customHeight="1"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</row>
    <row r="759" ht="14.25" customHeight="1"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</row>
    <row r="760" ht="14.25" customHeight="1"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</row>
    <row r="761" ht="14.25" customHeight="1"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</row>
    <row r="762" ht="14.25" customHeight="1"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</row>
    <row r="763" ht="14.25" customHeight="1"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</row>
    <row r="764" ht="14.25" customHeight="1"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</row>
    <row r="765" ht="14.25" customHeight="1"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</row>
    <row r="766" ht="14.25" customHeight="1"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</row>
    <row r="767" ht="14.25" customHeight="1"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</row>
    <row r="768" ht="14.25" customHeight="1"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</row>
    <row r="769" ht="14.25" customHeight="1"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</row>
    <row r="770" ht="14.25" customHeight="1"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</row>
    <row r="771" ht="14.25" customHeight="1"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</row>
    <row r="772" ht="14.25" customHeight="1"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</row>
    <row r="773" ht="14.25" customHeight="1"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</row>
    <row r="774" ht="14.25" customHeight="1"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</row>
    <row r="775" ht="14.25" customHeight="1"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</row>
    <row r="776" ht="14.25" customHeight="1"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</row>
    <row r="777" ht="14.25" customHeight="1"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</row>
    <row r="778" ht="14.25" customHeight="1"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</row>
    <row r="779" ht="14.25" customHeight="1"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</row>
    <row r="780" ht="14.25" customHeight="1"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</row>
    <row r="781" ht="14.25" customHeight="1"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</row>
    <row r="782" ht="14.25" customHeight="1"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</row>
    <row r="783" ht="14.25" customHeight="1"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</row>
    <row r="784" ht="14.25" customHeight="1"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</row>
    <row r="785" ht="14.25" customHeight="1"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</row>
    <row r="786" ht="14.25" customHeight="1"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</row>
    <row r="787" ht="14.25" customHeight="1"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</row>
    <row r="788" ht="14.25" customHeight="1"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</row>
    <row r="789" ht="14.25" customHeight="1"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</row>
    <row r="790" ht="14.25" customHeight="1"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</row>
    <row r="791" ht="14.25" customHeight="1"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</row>
    <row r="792" ht="14.25" customHeight="1"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</row>
    <row r="793" ht="14.25" customHeight="1"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</row>
    <row r="794" ht="14.25" customHeight="1"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</row>
    <row r="795" ht="14.25" customHeight="1"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</row>
    <row r="796" ht="14.25" customHeight="1"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</row>
    <row r="797" ht="14.25" customHeight="1"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</row>
    <row r="798" ht="14.25" customHeight="1"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</row>
    <row r="799" ht="14.25" customHeight="1"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</row>
    <row r="800" ht="14.25" customHeight="1"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</row>
    <row r="801" ht="14.25" customHeight="1"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</row>
    <row r="802" ht="14.25" customHeight="1"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</row>
    <row r="803" ht="14.25" customHeight="1"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</row>
    <row r="804" ht="14.25" customHeight="1"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</row>
    <row r="805" ht="14.25" customHeight="1"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</row>
    <row r="806" ht="14.25" customHeight="1"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</row>
    <row r="807" ht="14.25" customHeight="1"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</row>
    <row r="808" ht="14.25" customHeight="1"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</row>
    <row r="809" ht="14.25" customHeight="1"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</row>
    <row r="810" ht="14.25" customHeight="1"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</row>
    <row r="811" ht="14.25" customHeight="1"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</row>
    <row r="812" ht="14.25" customHeight="1"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</row>
    <row r="813" ht="14.25" customHeight="1"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</row>
    <row r="814" ht="14.25" customHeight="1"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</row>
    <row r="815" ht="14.25" customHeight="1"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</row>
    <row r="816" ht="14.25" customHeight="1"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</row>
    <row r="817" ht="14.25" customHeight="1"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</row>
    <row r="818" ht="14.25" customHeight="1"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</row>
    <row r="819" ht="14.25" customHeight="1"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</row>
    <row r="820" ht="14.25" customHeight="1"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</row>
    <row r="821" ht="14.25" customHeight="1"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</row>
    <row r="822" ht="14.25" customHeight="1"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</row>
    <row r="823" ht="14.25" customHeight="1"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</row>
    <row r="824" ht="14.25" customHeight="1"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</row>
    <row r="825" ht="14.25" customHeight="1"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</row>
    <row r="826" ht="14.25" customHeight="1"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</row>
    <row r="827" ht="14.25" customHeight="1"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</row>
    <row r="828" ht="14.25" customHeight="1"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</row>
    <row r="829" ht="14.25" customHeight="1"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</row>
    <row r="830" ht="14.25" customHeight="1"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</row>
    <row r="831" ht="14.25" customHeight="1"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</row>
    <row r="832" ht="14.25" customHeight="1"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</row>
    <row r="833" ht="14.25" customHeight="1"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</row>
    <row r="834" ht="14.25" customHeight="1"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</row>
    <row r="835" ht="14.25" customHeight="1"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</row>
    <row r="836" ht="14.25" customHeight="1"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</row>
    <row r="837" ht="14.25" customHeight="1"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</row>
    <row r="838" ht="14.25" customHeight="1"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</row>
    <row r="839" ht="14.25" customHeight="1"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</row>
    <row r="840" ht="14.25" customHeight="1"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</row>
    <row r="841" ht="14.25" customHeight="1"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</row>
    <row r="842" ht="14.25" customHeight="1"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</row>
    <row r="843" ht="14.25" customHeight="1"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</row>
    <row r="844" ht="14.25" customHeight="1"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</row>
    <row r="845" ht="14.25" customHeight="1"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</row>
    <row r="846" ht="14.25" customHeight="1"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</row>
    <row r="847" ht="14.25" customHeight="1"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</row>
    <row r="848" ht="14.25" customHeight="1"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</row>
    <row r="849" ht="14.25" customHeight="1"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</row>
    <row r="850" ht="14.25" customHeight="1"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</row>
    <row r="851" ht="14.25" customHeight="1"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</row>
    <row r="852" ht="14.25" customHeight="1"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</row>
    <row r="853" ht="14.25" customHeight="1"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</row>
    <row r="854" ht="14.25" customHeight="1"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</row>
    <row r="855" ht="14.25" customHeight="1"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</row>
    <row r="856" ht="14.25" customHeight="1"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</row>
    <row r="857" ht="14.25" customHeight="1"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</row>
    <row r="858" ht="14.25" customHeight="1"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</row>
    <row r="859" ht="14.25" customHeight="1"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</row>
    <row r="860" ht="14.25" customHeight="1"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</row>
    <row r="861" ht="14.25" customHeight="1"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</row>
    <row r="862" ht="14.25" customHeight="1"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</row>
    <row r="863" ht="14.25" customHeight="1"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</row>
    <row r="864" ht="14.25" customHeight="1"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</row>
    <row r="865" ht="14.25" customHeight="1"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</row>
    <row r="866" ht="14.25" customHeight="1"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</row>
    <row r="867" ht="14.25" customHeight="1"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</row>
    <row r="868" ht="14.25" customHeight="1"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</row>
    <row r="869" ht="14.25" customHeight="1"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</row>
    <row r="870" ht="14.25" customHeight="1"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</row>
    <row r="871" ht="14.25" customHeight="1"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</row>
    <row r="872" ht="14.25" customHeight="1"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</row>
    <row r="873" ht="14.25" customHeight="1"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</row>
    <row r="874" ht="14.25" customHeight="1"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</row>
    <row r="875" ht="14.25" customHeight="1"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</row>
    <row r="876" ht="14.25" customHeight="1"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</row>
    <row r="877" ht="14.25" customHeight="1"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</row>
    <row r="878" ht="14.25" customHeight="1"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</row>
    <row r="879" ht="14.25" customHeight="1"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</row>
    <row r="880" ht="14.25" customHeight="1"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</row>
    <row r="881" ht="14.25" customHeight="1"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</row>
    <row r="882" ht="14.25" customHeight="1"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</row>
    <row r="883" ht="14.25" customHeight="1"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</row>
    <row r="884" ht="14.25" customHeight="1"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</row>
    <row r="885" ht="14.25" customHeight="1"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</row>
    <row r="886" ht="14.25" customHeight="1"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</row>
    <row r="887" ht="14.25" customHeight="1"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</row>
    <row r="888" ht="14.25" customHeight="1"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</row>
    <row r="889" ht="14.25" customHeight="1"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</row>
    <row r="890" ht="14.25" customHeight="1"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</row>
    <row r="891" ht="14.25" customHeight="1"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</row>
    <row r="892" ht="14.25" customHeight="1"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</row>
    <row r="893" ht="14.25" customHeight="1"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</row>
    <row r="894" ht="14.25" customHeight="1"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</row>
    <row r="895" ht="14.25" customHeight="1"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</row>
    <row r="896" ht="14.25" customHeight="1"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</row>
    <row r="897" ht="14.25" customHeight="1"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</row>
    <row r="898" ht="14.25" customHeight="1"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</row>
    <row r="899" ht="14.25" customHeight="1"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</row>
    <row r="900" ht="14.25" customHeight="1"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</row>
    <row r="901" ht="14.25" customHeight="1"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</row>
    <row r="902" ht="14.25" customHeight="1"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</row>
    <row r="903" ht="14.25" customHeight="1"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</row>
    <row r="904" ht="14.25" customHeight="1"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</row>
    <row r="905" ht="14.25" customHeight="1"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</row>
    <row r="906" ht="14.25" customHeight="1"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</row>
    <row r="907" ht="14.25" customHeight="1"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</row>
    <row r="908" ht="14.25" customHeight="1"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</row>
    <row r="909" ht="14.25" customHeight="1"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</row>
    <row r="910" ht="14.25" customHeight="1"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</row>
    <row r="911" ht="14.25" customHeight="1"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</row>
    <row r="912" ht="14.25" customHeight="1"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</row>
    <row r="913" ht="14.25" customHeight="1"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</row>
    <row r="914" ht="14.25" customHeight="1"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</row>
    <row r="915" ht="14.25" customHeight="1"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</row>
    <row r="916" ht="14.25" customHeight="1"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</row>
    <row r="917" ht="14.25" customHeight="1"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</row>
    <row r="918" ht="14.25" customHeight="1"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</row>
    <row r="919" ht="14.25" customHeight="1"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</row>
    <row r="920" ht="14.25" customHeight="1"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</row>
    <row r="921" ht="14.25" customHeight="1"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</row>
    <row r="922" ht="14.25" customHeight="1"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</row>
    <row r="923" ht="14.25" customHeight="1"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</row>
    <row r="924" ht="14.25" customHeight="1"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</row>
    <row r="925" ht="14.25" customHeight="1"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</row>
    <row r="926" ht="14.25" customHeight="1"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</row>
    <row r="927" ht="14.25" customHeight="1"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</row>
    <row r="928" ht="14.25" customHeight="1"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</row>
    <row r="929" ht="14.25" customHeight="1"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</row>
    <row r="930" ht="14.25" customHeight="1"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</row>
    <row r="931" ht="14.25" customHeight="1"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</row>
    <row r="932" ht="14.25" customHeight="1"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</row>
    <row r="933" ht="14.25" customHeight="1"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</row>
    <row r="934" ht="14.25" customHeight="1"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</row>
    <row r="935" ht="14.25" customHeight="1"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</row>
    <row r="936" ht="14.25" customHeight="1"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</row>
    <row r="937" ht="14.25" customHeight="1"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</row>
    <row r="938" ht="14.25" customHeight="1"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</row>
    <row r="939" ht="14.25" customHeight="1"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</row>
    <row r="940" ht="14.25" customHeight="1"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</row>
    <row r="941" ht="14.25" customHeight="1"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</row>
    <row r="942" ht="14.25" customHeight="1"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</row>
    <row r="943" ht="14.25" customHeight="1"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</row>
    <row r="944" ht="14.25" customHeight="1"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</row>
    <row r="945" ht="14.25" customHeight="1"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</row>
    <row r="946" ht="14.25" customHeight="1"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</row>
    <row r="947" ht="14.25" customHeight="1"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</row>
    <row r="948" ht="14.25" customHeight="1"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</row>
    <row r="949" ht="14.25" customHeight="1"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</row>
    <row r="950" ht="14.25" customHeight="1"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</row>
    <row r="951" ht="14.25" customHeight="1"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</row>
    <row r="952" ht="14.25" customHeight="1"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</row>
    <row r="953" ht="14.25" customHeight="1"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</row>
    <row r="954" ht="14.25" customHeight="1"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</row>
    <row r="955" ht="14.25" customHeight="1"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</row>
    <row r="956" ht="14.25" customHeight="1"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</row>
    <row r="957" ht="14.25" customHeight="1"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</row>
    <row r="958" ht="14.25" customHeight="1"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</row>
    <row r="959" ht="14.25" customHeight="1"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</row>
    <row r="960" ht="14.25" customHeight="1"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</row>
    <row r="961" ht="14.25" customHeight="1"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</row>
    <row r="962" ht="14.25" customHeight="1"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</row>
    <row r="963" ht="14.25" customHeight="1"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</row>
    <row r="964" ht="14.25" customHeight="1"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</row>
    <row r="965" ht="14.25" customHeight="1"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</row>
    <row r="966" ht="14.25" customHeight="1"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</row>
    <row r="967" ht="14.25" customHeight="1"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</row>
    <row r="968" ht="14.25" customHeight="1"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</row>
    <row r="969" ht="14.25" customHeight="1"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</row>
    <row r="970" ht="14.25" customHeight="1"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</row>
    <row r="971" ht="14.25" customHeight="1"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</row>
    <row r="972" ht="14.25" customHeight="1"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</row>
    <row r="973" ht="14.25" customHeight="1"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</row>
    <row r="974" ht="14.25" customHeight="1"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</row>
    <row r="975" ht="14.25" customHeight="1"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</row>
    <row r="976" ht="14.25" customHeight="1"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</row>
    <row r="977" ht="14.25" customHeight="1"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</row>
    <row r="978" ht="14.25" customHeight="1"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</row>
    <row r="979" ht="14.25" customHeight="1"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</row>
    <row r="980" ht="14.25" customHeight="1"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</row>
    <row r="981" ht="14.25" customHeight="1"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</row>
    <row r="982" ht="14.25" customHeight="1"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</row>
    <row r="983" ht="14.25" customHeight="1"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</row>
    <row r="984" ht="14.25" customHeight="1"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</row>
    <row r="985" ht="14.25" customHeight="1"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</row>
    <row r="986" ht="14.25" customHeight="1"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</row>
    <row r="987" ht="14.25" customHeight="1"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</row>
    <row r="988" ht="14.25" customHeight="1"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</row>
    <row r="989" ht="14.25" customHeight="1"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</row>
    <row r="990" ht="14.25" customHeight="1"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</row>
    <row r="991" ht="14.25" customHeight="1"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</row>
    <row r="992" ht="14.25" customHeight="1"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</row>
    <row r="993" ht="14.25" customHeight="1"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</row>
    <row r="994" ht="14.25" customHeight="1"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</row>
    <row r="995" ht="14.25" customHeight="1"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</row>
    <row r="996" ht="14.25" customHeight="1"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</row>
    <row r="997" ht="14.25" customHeight="1"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</row>
    <row r="998" ht="14.25" customHeight="1"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</row>
    <row r="999" ht="14.25" customHeight="1"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</row>
    <row r="1000" ht="14.25" customHeight="1"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</row>
    <row r="1001" ht="14.25" customHeight="1"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</row>
    <row r="1002" ht="14.25" customHeight="1"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  <c r="AG1002" s="56"/>
      <c r="AH1002" s="56"/>
      <c r="AI1002" s="56"/>
    </row>
    <row r="1003" ht="14.25" customHeight="1"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  <c r="AG1003" s="56"/>
      <c r="AH1003" s="56"/>
      <c r="AI1003" s="56"/>
    </row>
    <row r="1004" ht="14.25" customHeight="1"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  <c r="AG1004" s="56"/>
      <c r="AH1004" s="56"/>
      <c r="AI1004" s="56"/>
    </row>
    <row r="1005" ht="14.25" customHeight="1"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</row>
    <row r="1006" ht="14.25" customHeight="1"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</row>
    <row r="1007" ht="14.25" customHeight="1"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</row>
    <row r="1008" ht="14.25" customHeight="1"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</row>
    <row r="1009" ht="14.25" customHeight="1"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</row>
    <row r="1010" ht="14.25" customHeight="1"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</row>
    <row r="1011" ht="14.25" customHeight="1"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</row>
    <row r="1012" ht="14.25" customHeight="1"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  <c r="AA1012" s="56"/>
      <c r="AB1012" s="56"/>
      <c r="AC1012" s="56"/>
      <c r="AD1012" s="56"/>
      <c r="AE1012" s="56"/>
      <c r="AF1012" s="56"/>
      <c r="AG1012" s="56"/>
      <c r="AH1012" s="56"/>
      <c r="AI1012" s="56"/>
    </row>
    <row r="1013" ht="14.25" customHeight="1"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  <c r="AA1013" s="56"/>
      <c r="AB1013" s="56"/>
      <c r="AC1013" s="56"/>
      <c r="AD1013" s="56"/>
      <c r="AE1013" s="56"/>
      <c r="AF1013" s="56"/>
      <c r="AG1013" s="56"/>
      <c r="AH1013" s="56"/>
      <c r="AI1013" s="56"/>
    </row>
    <row r="1014" ht="14.25" customHeight="1"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  <c r="AA1014" s="56"/>
      <c r="AB1014" s="56"/>
      <c r="AC1014" s="56"/>
      <c r="AD1014" s="56"/>
      <c r="AE1014" s="56"/>
      <c r="AF1014" s="56"/>
      <c r="AG1014" s="56"/>
      <c r="AH1014" s="56"/>
      <c r="AI1014" s="56"/>
    </row>
    <row r="1015" ht="14.25" customHeight="1"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</row>
    <row r="1016" ht="14.25" customHeight="1"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</row>
    <row r="1017" ht="14.25" customHeight="1"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6"/>
      <c r="Y1017" s="56"/>
      <c r="Z1017" s="56"/>
      <c r="AA1017" s="56"/>
      <c r="AB1017" s="56"/>
      <c r="AC1017" s="56"/>
      <c r="AD1017" s="56"/>
      <c r="AE1017" s="56"/>
      <c r="AF1017" s="56"/>
      <c r="AG1017" s="56"/>
      <c r="AH1017" s="56"/>
      <c r="AI1017" s="56"/>
    </row>
    <row r="1018" ht="14.25" customHeight="1"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6"/>
      <c r="Y1018" s="56"/>
      <c r="Z1018" s="56"/>
      <c r="AA1018" s="56"/>
      <c r="AB1018" s="56"/>
      <c r="AC1018" s="56"/>
      <c r="AD1018" s="56"/>
      <c r="AE1018" s="56"/>
      <c r="AF1018" s="56"/>
      <c r="AG1018" s="56"/>
      <c r="AH1018" s="56"/>
      <c r="AI1018" s="56"/>
    </row>
    <row r="1019" ht="14.25" customHeight="1"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</row>
    <row r="1020" ht="14.25" customHeight="1"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</row>
    <row r="1021" ht="14.25" customHeight="1"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</row>
    <row r="1022" ht="14.25" customHeight="1"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</row>
    <row r="1023" ht="14.25" customHeight="1"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</row>
    <row r="1024" ht="14.25" customHeight="1"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</row>
    <row r="1025" ht="14.25" customHeight="1"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</row>
    <row r="1026" ht="14.25" customHeight="1"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</row>
    <row r="1027" ht="14.25" customHeight="1"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</row>
    <row r="1028" ht="14.25" customHeight="1"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</row>
  </sheetData>
  <mergeCells count="13">
    <mergeCell ref="U5:W9"/>
    <mergeCell ref="X5:Z9"/>
    <mergeCell ref="AA5:AC9"/>
    <mergeCell ref="AD5:AF9"/>
    <mergeCell ref="AG5:AI9"/>
    <mergeCell ref="AJ5:AJ9"/>
    <mergeCell ref="B5:B10"/>
    <mergeCell ref="C5:E9"/>
    <mergeCell ref="F5:H9"/>
    <mergeCell ref="I5:K9"/>
    <mergeCell ref="L5:N9"/>
    <mergeCell ref="O5:Q9"/>
    <mergeCell ref="R5:T9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sheetData>
    <row r="8" ht="15.0" customHeight="1">
      <c r="D8" s="89" t="s">
        <v>52</v>
      </c>
    </row>
    <row r="9" ht="15.0" customHeight="1">
      <c r="K9" s="90" t="s">
        <v>53</v>
      </c>
    </row>
    <row r="10" ht="15.0" customHeight="1"/>
    <row r="11" ht="15.0" customHeight="1"/>
    <row r="12" ht="15.0" customHeight="1"/>
    <row r="13" ht="15.0" customHeight="1">
      <c r="K13" s="90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0" customHeight="1">
      <c r="K26" s="90" t="s">
        <v>55</v>
      </c>
    </row>
    <row r="27" ht="15.75" customHeight="1"/>
    <row r="28" ht="15.0" customHeight="1">
      <c r="K28" s="90" t="s">
        <v>56</v>
      </c>
    </row>
    <row r="29" ht="15.75" customHeight="1"/>
    <row r="30" ht="15.0" customHeight="1">
      <c r="K30" s="90" t="s">
        <v>57</v>
      </c>
    </row>
    <row r="31" ht="15.0" customHeight="1">
      <c r="K31" s="90" t="s">
        <v>58</v>
      </c>
    </row>
    <row r="32" ht="15.75" customHeight="1"/>
    <row r="33" ht="15.0" customHeight="1">
      <c r="K33" s="90" t="s">
        <v>59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8:J13"/>
  </mergeCells>
  <hyperlinks>
    <hyperlink r:id="rId1" ref="K9"/>
    <hyperlink r:id="rId2" location="fd5" ref="K13"/>
    <hyperlink r:id="rId3" ref="K26"/>
    <hyperlink r:id="rId4" ref="K28"/>
    <hyperlink r:id="rId5" ref="K30"/>
    <hyperlink r:id="rId6" location=":~:text=Overall%2C%20in%20various%20gas%20separation,Recently%2C%20Zito%20et%20al." ref="K31"/>
    <hyperlink r:id="rId7" ref="K33"/>
  </hyperlinks>
  <printOptions/>
  <pageMargins bottom="0.75" footer="0.0" header="0.0" left="0.7" right="0.7" top="0.75"/>
  <pageSetup paperSize="9" orientation="portrait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2021-09-08T12:59:20Z</dcterms:created>
  <dc:creator>Hanib Libon</dc:creator>
</cp:coreProperties>
</file>